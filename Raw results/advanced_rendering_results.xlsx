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ocuments\GitHub\PlayCanvas renderer optimiser\Raw results\"/>
    </mc:Choice>
  </mc:AlternateContent>
  <xr:revisionPtr revIDLastSave="0" documentId="13_ncr:1_{0E72EB69-43DD-4FBE-A858-270C7D31D16C}" xr6:coauthVersionLast="47" xr6:coauthVersionMax="47" xr10:uidLastSave="{00000000-0000-0000-0000-000000000000}"/>
  <bookViews>
    <workbookView xWindow="-108" yWindow="-108" windowWidth="23256" windowHeight="12456" firstSheet="1" activeTab="3" xr2:uid="{8105C475-CE0C-41DA-9682-A207B56F73A6}"/>
  </bookViews>
  <sheets>
    <sheet name="baseline_results_cube" sheetId="1" r:id="rId1"/>
    <sheet name="baseline_summary" sheetId="3" r:id="rId2"/>
    <sheet name="batching_results_cube" sheetId="5" r:id="rId3"/>
    <sheet name="batching_summary" sheetId="4" r:id="rId4"/>
    <sheet name="summary" sheetId="8" r:id="rId5"/>
    <sheet name="instancing_results_cube" sheetId="6" r:id="rId6"/>
    <sheet name="instacing_results_asse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C3" i="4"/>
  <c r="C4" i="4"/>
  <c r="C5" i="4"/>
  <c r="C6" i="4"/>
  <c r="C7" i="4"/>
  <c r="C8" i="4"/>
  <c r="C9" i="4"/>
  <c r="C10" i="4"/>
  <c r="C11" i="4"/>
  <c r="C2" i="4"/>
  <c r="B2" i="4"/>
  <c r="B3" i="4"/>
  <c r="B4" i="4"/>
  <c r="B5" i="4"/>
  <c r="B6" i="4"/>
  <c r="B7" i="4"/>
  <c r="B8" i="4"/>
  <c r="B9" i="4"/>
  <c r="B10" i="4"/>
  <c r="B11" i="4"/>
</calcChain>
</file>

<file path=xl/sharedStrings.xml><?xml version="1.0" encoding="utf-8"?>
<sst xmlns="http://schemas.openxmlformats.org/spreadsheetml/2006/main" count="328" uniqueCount="73">
  <si>
    <t>testName</t>
  </si>
  <si>
    <t>mode</t>
  </si>
  <si>
    <t>objectCount</t>
  </si>
  <si>
    <t>meshVariantCount</t>
  </si>
  <si>
    <t>materialVariantCount</t>
  </si>
  <si>
    <t>repetition</t>
  </si>
  <si>
    <t>warmupSeconds</t>
  </si>
  <si>
    <t>measureSeconds</t>
  </si>
  <si>
    <t>avgFps</t>
  </si>
  <si>
    <t>minFps</t>
  </si>
  <si>
    <t>maxFps</t>
  </si>
  <si>
    <t>avgFrameTimeMs</t>
  </si>
  <si>
    <t>minFrameTimeMs</t>
  </si>
  <si>
    <t>maxFrameTimeMs</t>
  </si>
  <si>
    <t>runtimeDrawCallsAvg</t>
  </si>
  <si>
    <t>runtimeDrawCallsMin</t>
  </si>
  <si>
    <t>runtimeDrawCallsMax</t>
  </si>
  <si>
    <t>objectRenderMeshInstances</t>
  </si>
  <si>
    <t>browser</t>
  </si>
  <si>
    <t>resolution</t>
  </si>
  <si>
    <t>deviceNotes</t>
  </si>
  <si>
    <t>baseline_cube_1000</t>
  </si>
  <si>
    <t>baseline</t>
  </si>
  <si>
    <t>Chrome</t>
  </si>
  <si>
    <t>1920x1080</t>
  </si>
  <si>
    <t>baseline_cube_2000</t>
  </si>
  <si>
    <t>baseline_cube_3000</t>
  </si>
  <si>
    <t>baseline_cube_4000</t>
  </si>
  <si>
    <t>baseline_cube_5000</t>
  </si>
  <si>
    <t>baseline_cube_6000</t>
  </si>
  <si>
    <t>baseline_cube_7000</t>
  </si>
  <si>
    <t>baseline_cube_8000</t>
  </si>
  <si>
    <t>baseline_cube_9000</t>
  </si>
  <si>
    <t>baseline_cube_10000</t>
  </si>
  <si>
    <t>Average of avgFps</t>
  </si>
  <si>
    <t>Average of avgFrameTimeMs</t>
  </si>
  <si>
    <t>Average of runtimeDrawCallsAvg</t>
  </si>
  <si>
    <t>Average of objectRenderMeshInstances</t>
  </si>
  <si>
    <t>Grand Total</t>
  </si>
  <si>
    <t>ObjectCount</t>
  </si>
  <si>
    <t>Baseline Draw Calls</t>
  </si>
  <si>
    <t>Batching Draw Calls</t>
  </si>
  <si>
    <t>analysedGroupCount</t>
  </si>
  <si>
    <t>analysedBatchingCandidateGroups</t>
  </si>
  <si>
    <t>analysedLargestGroupSize</t>
  </si>
  <si>
    <t>optimisedAssignedObjectCount</t>
  </si>
  <si>
    <t>optimisedUsedGroupCount</t>
  </si>
  <si>
    <t>optimisedSkippedGroupCount</t>
  </si>
  <si>
    <t>batching_cube_test_1000</t>
  </si>
  <si>
    <t>batching</t>
  </si>
  <si>
    <t>batching_cube_test_2000</t>
  </si>
  <si>
    <t>batching_cube_test_3000</t>
  </si>
  <si>
    <t>batching_cube_test_4000</t>
  </si>
  <si>
    <t>batching_cube_test_5000</t>
  </si>
  <si>
    <t>batching_cube_test_6000</t>
  </si>
  <si>
    <t>batching_cube_test_7000</t>
  </si>
  <si>
    <t>batching_cube_test_8000</t>
  </si>
  <si>
    <t>batching_cube_test_9000</t>
  </si>
  <si>
    <t>batching_cube_test_10000</t>
  </si>
  <si>
    <t>batching_cube_test_15000</t>
  </si>
  <si>
    <t>instancing_cube_1000</t>
  </si>
  <si>
    <t>instancing</t>
  </si>
  <si>
    <t>instancing_cube_2000</t>
  </si>
  <si>
    <t>instancing_cube_3000</t>
  </si>
  <si>
    <t>instancing_cube_4000</t>
  </si>
  <si>
    <t>instancing_cube_5000</t>
  </si>
  <si>
    <t>instancing_cube_6000</t>
  </si>
  <si>
    <t>instancing_cube_7000</t>
  </si>
  <si>
    <t>instancing_cube_8000</t>
  </si>
  <si>
    <t>instancing_cube_9000</t>
  </si>
  <si>
    <t>instancing_cube_10000</t>
  </si>
  <si>
    <t>instancing_asset_10</t>
  </si>
  <si>
    <t>Instancing Draw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</si>
</sst>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12" xfId="0" applyBorder="1"/>
    <xf numFmtId="0" fontId="0" fillId="0" borderId="14" xfId="0" applyBorder="1"/>
    <xf numFmtId="0" fontId="18" fillId="33" borderId="0" xfId="0" applyFont="1" applyFill="1"/>
    <xf numFmtId="0" fontId="18" fillId="33" borderId="12" xfId="0" applyFont="1" applyFill="1" applyBorder="1"/>
    <xf numFmtId="0" fontId="18" fillId="33" borderId="14" xfId="0" applyFont="1" applyFill="1" applyBorder="1"/>
    <xf numFmtId="0" fontId="0" fillId="34" borderId="0" xfId="0" applyFill="1" applyAlignment="1">
      <alignment horizontal="left"/>
    </xf>
    <xf numFmtId="0" fontId="0" fillId="34" borderId="12" xfId="0" applyFill="1" applyBorder="1"/>
    <xf numFmtId="0" fontId="0" fillId="34" borderId="14" xfId="0" applyFill="1" applyBorder="1"/>
    <xf numFmtId="0" fontId="0" fillId="34" borderId="10" xfId="0" applyFill="1" applyBorder="1" applyAlignment="1">
      <alignment horizontal="left"/>
    </xf>
    <xf numFmtId="0" fontId="0" fillId="34" borderId="11" xfId="0" applyFill="1" applyBorder="1"/>
    <xf numFmtId="0" fontId="0" fillId="34" borderId="13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sz val="12"/>
      </font>
    </dxf>
    <dxf>
      <font>
        <sz val="12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Baseline Frame Time vs Object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baseline_results_cube!$C$1</c:f>
              <c:strCache>
                <c:ptCount val="1"/>
                <c:pt idx="0">
                  <c:v>objectCount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baseline_results_cube!$C$2:$C$31</c:f>
              <c:numCache>
                <c:formatCode>General</c:formatCode>
                <c:ptCount val="30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7000</c:v>
                </c:pt>
                <c:pt idx="19">
                  <c:v>7000</c:v>
                </c:pt>
                <c:pt idx="20">
                  <c:v>7000</c:v>
                </c:pt>
                <c:pt idx="21">
                  <c:v>8000</c:v>
                </c:pt>
                <c:pt idx="22">
                  <c:v>8000</c:v>
                </c:pt>
                <c:pt idx="23">
                  <c:v>8000</c:v>
                </c:pt>
                <c:pt idx="24">
                  <c:v>9000</c:v>
                </c:pt>
                <c:pt idx="25">
                  <c:v>9000</c:v>
                </c:pt>
                <c:pt idx="26">
                  <c:v>9000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9-420E-8225-6BD7CC1B0309}"/>
            </c:ext>
          </c:extLst>
        </c:ser>
        <c:ser>
          <c:idx val="1"/>
          <c:order val="1"/>
          <c:tx>
            <c:strRef>
              <c:f>baseline_results_cube!$L$1</c:f>
              <c:strCache>
                <c:ptCount val="1"/>
                <c:pt idx="0">
                  <c:v>avgFrameTimeMs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baseline_results_cube!$L$2:$L$31</c:f>
              <c:numCache>
                <c:formatCode>General</c:formatCode>
                <c:ptCount val="30"/>
                <c:pt idx="0">
                  <c:v>16.666</c:v>
                </c:pt>
                <c:pt idx="1">
                  <c:v>16.666</c:v>
                </c:pt>
                <c:pt idx="2">
                  <c:v>16.666</c:v>
                </c:pt>
                <c:pt idx="3">
                  <c:v>16.666</c:v>
                </c:pt>
                <c:pt idx="4">
                  <c:v>16.666</c:v>
                </c:pt>
                <c:pt idx="5">
                  <c:v>16.666</c:v>
                </c:pt>
                <c:pt idx="6">
                  <c:v>17.268999999999998</c:v>
                </c:pt>
                <c:pt idx="7">
                  <c:v>16.666</c:v>
                </c:pt>
                <c:pt idx="8">
                  <c:v>16.748999999999999</c:v>
                </c:pt>
                <c:pt idx="9">
                  <c:v>16.664999999999999</c:v>
                </c:pt>
                <c:pt idx="10">
                  <c:v>16.666</c:v>
                </c:pt>
                <c:pt idx="11">
                  <c:v>16.664999999999999</c:v>
                </c:pt>
                <c:pt idx="12">
                  <c:v>17.571999999999999</c:v>
                </c:pt>
                <c:pt idx="13">
                  <c:v>16.666</c:v>
                </c:pt>
                <c:pt idx="14">
                  <c:v>16.834</c:v>
                </c:pt>
                <c:pt idx="15">
                  <c:v>19.873000000000001</c:v>
                </c:pt>
                <c:pt idx="16">
                  <c:v>18.582999999999998</c:v>
                </c:pt>
                <c:pt idx="17">
                  <c:v>21.265999999999998</c:v>
                </c:pt>
                <c:pt idx="18">
                  <c:v>27.486999999999998</c:v>
                </c:pt>
                <c:pt idx="19">
                  <c:v>27.143000000000001</c:v>
                </c:pt>
                <c:pt idx="20">
                  <c:v>28.135000000000002</c:v>
                </c:pt>
                <c:pt idx="21">
                  <c:v>33.331000000000003</c:v>
                </c:pt>
                <c:pt idx="22">
                  <c:v>27.638999999999999</c:v>
                </c:pt>
                <c:pt idx="23">
                  <c:v>32.68</c:v>
                </c:pt>
                <c:pt idx="24">
                  <c:v>31.597000000000001</c:v>
                </c:pt>
                <c:pt idx="25">
                  <c:v>30.077999999999999</c:v>
                </c:pt>
                <c:pt idx="26">
                  <c:v>28.056000000000001</c:v>
                </c:pt>
                <c:pt idx="27">
                  <c:v>34.835999999999999</c:v>
                </c:pt>
                <c:pt idx="28">
                  <c:v>31.797000000000001</c:v>
                </c:pt>
                <c:pt idx="29">
                  <c:v>32.31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C9-420E-8225-6BD7CC1B0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006144"/>
        <c:axId val="1794004224"/>
      </c:lineChart>
      <c:catAx>
        <c:axId val="179400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Frame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04224"/>
        <c:crosses val="autoZero"/>
        <c:auto val="1"/>
        <c:lblAlgn val="ctr"/>
        <c:lblOffset val="100"/>
        <c:noMultiLvlLbl val="0"/>
      </c:catAx>
      <c:valAx>
        <c:axId val="1794004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0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C1C1C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Baseline vs Batching Draw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batching_summary!$B$1</c:f>
              <c:strCache>
                <c:ptCount val="1"/>
                <c:pt idx="0">
                  <c:v>Baseline Draw Calls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batching_summary!$A$2:$A$11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batching_summary!$B$2:$B$11</c:f>
              <c:numCache>
                <c:formatCode>General</c:formatCode>
                <c:ptCount val="10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E-4358-9EB3-EA4CA4040657}"/>
            </c:ext>
          </c:extLst>
        </c:ser>
        <c:ser>
          <c:idx val="2"/>
          <c:order val="2"/>
          <c:tx>
            <c:strRef>
              <c:f>batching_summary!$C$1</c:f>
              <c:strCache>
                <c:ptCount val="1"/>
                <c:pt idx="0">
                  <c:v>Batching Draw Calls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batching_summary!$A$2:$A$11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batching_summary!$C$2:$C$11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1E-4358-9EB3-EA4CA4040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134304"/>
        <c:axId val="17971395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batching_summary!$A$1</c15:sqref>
                        </c15:formulaRef>
                      </c:ext>
                    </c:extLst>
                    <c:strCache>
                      <c:ptCount val="1"/>
                      <c:pt idx="0">
                        <c:v>ObjectCount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batching_summary!$A$2:$A$11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batching_summary!$A$2:$A$11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71E-4358-9EB3-EA4CA4040657}"/>
                  </c:ext>
                </c:extLst>
              </c15:ser>
            </c15:filteredLineSeries>
          </c:ext>
        </c:extLst>
      </c:lineChart>
      <c:catAx>
        <c:axId val="1797134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39584"/>
        <c:crosses val="autoZero"/>
        <c:auto val="1"/>
        <c:lblAlgn val="ctr"/>
        <c:lblOffset val="100"/>
        <c:noMultiLvlLbl val="0"/>
      </c:catAx>
      <c:valAx>
        <c:axId val="1797139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Object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3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C1C1C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Baseline vs Batching vs GPU Instancing Draw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Baseline Draw Calls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1001</c:v>
                </c:pt>
                <c:pt idx="1">
                  <c:v>2001</c:v>
                </c:pt>
                <c:pt idx="2">
                  <c:v>3001</c:v>
                </c:pt>
                <c:pt idx="3">
                  <c:v>4001</c:v>
                </c:pt>
                <c:pt idx="4">
                  <c:v>5001</c:v>
                </c:pt>
                <c:pt idx="5">
                  <c:v>6001</c:v>
                </c:pt>
                <c:pt idx="6">
                  <c:v>7001</c:v>
                </c:pt>
                <c:pt idx="7">
                  <c:v>8001</c:v>
                </c:pt>
                <c:pt idx="8">
                  <c:v>9001</c:v>
                </c:pt>
                <c:pt idx="9">
                  <c:v>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5-4E5C-9909-20F23FBD080C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Batching Draw Calls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5-4E5C-9909-20F23FBD080C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Instancing Draw Calls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5-4E5C-9909-20F23FBD08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639464896"/>
        <c:axId val="639473056"/>
      </c:barChart>
      <c:catAx>
        <c:axId val="639464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Object</a:t>
                </a:r>
                <a:r>
                  <a:rPr lang="en-GB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73056"/>
        <c:crosses val="autoZero"/>
        <c:auto val="1"/>
        <c:lblAlgn val="ctr"/>
        <c:lblOffset val="100"/>
        <c:noMultiLvlLbl val="0"/>
      </c:catAx>
      <c:valAx>
        <c:axId val="639473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runtime</a:t>
                </a:r>
                <a:r>
                  <a:rPr lang="en-GB" baseline="0"/>
                  <a:t> draw calls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C1C1C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2</xdr:row>
      <xdr:rowOff>175260</xdr:rowOff>
    </xdr:from>
    <xdr:to>
      <xdr:col>16</xdr:col>
      <xdr:colOff>350520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2A6C1F-85DB-653F-B6D7-C457C94A4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41910</xdr:rowOff>
    </xdr:from>
    <xdr:to>
      <xdr:col>13</xdr:col>
      <xdr:colOff>297180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3A1AF-B320-B6ED-12B4-F47A5AF46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0</xdr:row>
      <xdr:rowOff>60960</xdr:rowOff>
    </xdr:from>
    <xdr:to>
      <xdr:col>13</xdr:col>
      <xdr:colOff>464820</xdr:colOff>
      <xdr:row>20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F62911-8DB7-4DAD-8CE3-B2C687621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ca Gabriela Custura" refreshedDate="46202.630955439818" createdVersion="8" refreshedVersion="8" minRefreshableVersion="3" recordCount="30" xr:uid="{47A3E92D-1979-467D-A1B0-452A2B7455D9}">
  <cacheSource type="worksheet">
    <worksheetSource ref="A1:U31" sheet="baseline_results_cube"/>
  </cacheSource>
  <cacheFields count="21">
    <cacheField name="testName" numFmtId="0">
      <sharedItems count="10">
        <s v="baseline_cube_1000"/>
        <s v="baseline_cube_2000"/>
        <s v="baseline_cube_3000"/>
        <s v="baseline_cube_4000"/>
        <s v="baseline_cube_5000"/>
        <s v="baseline_cube_6000"/>
        <s v="baseline_cube_7000"/>
        <s v="baseline_cube_8000"/>
        <s v="baseline_cube_9000"/>
        <s v="baseline_cube_10000"/>
      </sharedItems>
    </cacheField>
    <cacheField name="mode" numFmtId="0">
      <sharedItems/>
    </cacheField>
    <cacheField name="objectCount" numFmtId="0">
      <sharedItems containsSemiMixedTypes="0" containsString="0" containsNumber="1" containsInteger="1" minValue="1000" maxValue="10000" count="10">
        <n v="1000"/>
        <n v="2000"/>
        <n v="3000"/>
        <n v="4000"/>
        <n v="5000"/>
        <n v="6000"/>
        <n v="7000"/>
        <n v="8000"/>
        <n v="9000"/>
        <n v="10000"/>
      </sharedItems>
    </cacheField>
    <cacheField name="meshVariantCount" numFmtId="0">
      <sharedItems containsSemiMixedTypes="0" containsString="0" containsNumber="1" containsInteger="1" minValue="1" maxValue="1"/>
    </cacheField>
    <cacheField name="materialVariantCount" numFmtId="0">
      <sharedItems containsSemiMixedTypes="0" containsString="0" containsNumber="1" containsInteger="1" minValue="1" maxValue="1"/>
    </cacheField>
    <cacheField name="repetition" numFmtId="0">
      <sharedItems containsSemiMixedTypes="0" containsString="0" containsNumber="1" containsInteger="1" minValue="1" maxValue="3"/>
    </cacheField>
    <cacheField name="warmupSeconds" numFmtId="0">
      <sharedItems containsSemiMixedTypes="0" containsString="0" containsNumber="1" containsInteger="1" minValue="3" maxValue="3"/>
    </cacheField>
    <cacheField name="measureSeconds" numFmtId="0">
      <sharedItems containsSemiMixedTypes="0" containsString="0" containsNumber="1" containsInteger="1" minValue="10" maxValue="10"/>
    </cacheField>
    <cacheField name="avgFps" numFmtId="0">
      <sharedItems containsSemiMixedTypes="0" containsString="0" containsNumber="1" minValue="29.099" maxValue="60.006"/>
    </cacheField>
    <cacheField name="minFps" numFmtId="0">
      <sharedItems containsSemiMixedTypes="0" containsString="0" containsNumber="1" minValue="10" maxValue="59.171999999999997"/>
    </cacheField>
    <cacheField name="maxFps" numFmtId="0">
      <sharedItems containsSemiMixedTypes="0" containsString="0" containsNumber="1" minValue="30.210999999999999" maxValue="61.35"/>
    </cacheField>
    <cacheField name="avgFrameTimeMs" numFmtId="0">
      <sharedItems containsSemiMixedTypes="0" containsString="0" containsNumber="1" minValue="16.664999999999999" maxValue="34.835999999999999"/>
    </cacheField>
    <cacheField name="minFrameTimeMs" numFmtId="0">
      <sharedItems containsSemiMixedTypes="0" containsString="0" containsNumber="1" minValue="16.3" maxValue="33.1"/>
    </cacheField>
    <cacheField name="maxFrameTimeMs" numFmtId="0">
      <sharedItems containsSemiMixedTypes="0" containsString="0" containsNumber="1" minValue="16.899999999999999" maxValue="100"/>
    </cacheField>
    <cacheField name="runtimeDrawCallsAvg" numFmtId="0">
      <sharedItems containsSemiMixedTypes="0" containsString="0" containsNumber="1" containsInteger="1" minValue="1001" maxValue="10001"/>
    </cacheField>
    <cacheField name="runtimeDrawCallsMin" numFmtId="0">
      <sharedItems containsSemiMixedTypes="0" containsString="0" containsNumber="1" containsInteger="1" minValue="1001" maxValue="10001"/>
    </cacheField>
    <cacheField name="runtimeDrawCallsMax" numFmtId="0">
      <sharedItems containsSemiMixedTypes="0" containsString="0" containsNumber="1" containsInteger="1" minValue="1001" maxValue="10001"/>
    </cacheField>
    <cacheField name="objectRenderMeshInstances" numFmtId="0">
      <sharedItems containsSemiMixedTypes="0" containsString="0" containsNumber="1" containsInteger="1" minValue="1000" maxValue="10000"/>
    </cacheField>
    <cacheField name="browser" numFmtId="0">
      <sharedItems/>
    </cacheField>
    <cacheField name="resolution" numFmtId="0">
      <sharedItems/>
    </cacheField>
    <cacheField name="device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baseline"/>
    <x v="0"/>
    <n v="1"/>
    <n v="1"/>
    <n v="1"/>
    <n v="3"/>
    <n v="10"/>
    <n v="60.005000000000003"/>
    <n v="58.823999999999998"/>
    <n v="61.35"/>
    <n v="16.666"/>
    <n v="16.3"/>
    <n v="17"/>
    <n v="1001"/>
    <n v="1001"/>
    <n v="1001"/>
    <n v="1000"/>
    <s v="Chrome"/>
    <s v="1920x1080"/>
    <m/>
  </r>
  <r>
    <x v="0"/>
    <s v="baseline"/>
    <x v="0"/>
    <n v="1"/>
    <n v="1"/>
    <n v="2"/>
    <n v="3"/>
    <n v="10"/>
    <n v="60.005000000000003"/>
    <n v="59.171999999999997"/>
    <n v="60.975999999999999"/>
    <n v="16.666"/>
    <n v="16.399999999999999"/>
    <n v="16.899999999999999"/>
    <n v="1001"/>
    <n v="1001"/>
    <n v="1001"/>
    <n v="1000"/>
    <s v="Chrome"/>
    <s v="1920x1080"/>
    <m/>
  </r>
  <r>
    <x v="0"/>
    <s v="baseline"/>
    <x v="0"/>
    <n v="1"/>
    <n v="1"/>
    <n v="3"/>
    <n v="3"/>
    <n v="10"/>
    <n v="60.006"/>
    <n v="59.171999999999997"/>
    <n v="61.35"/>
    <n v="16.666"/>
    <n v="16.3"/>
    <n v="16.899999999999999"/>
    <n v="1001"/>
    <n v="1001"/>
    <n v="1001"/>
    <n v="1000"/>
    <s v="Chrome"/>
    <s v="1920x1080"/>
    <m/>
  </r>
  <r>
    <x v="1"/>
    <s v="baseline"/>
    <x v="1"/>
    <n v="1"/>
    <n v="1"/>
    <n v="1"/>
    <n v="3"/>
    <n v="10"/>
    <n v="60.005000000000003"/>
    <n v="58.823999999999998"/>
    <n v="61.35"/>
    <n v="16.666"/>
    <n v="16.3"/>
    <n v="17"/>
    <n v="2001"/>
    <n v="2001"/>
    <n v="2001"/>
    <n v="2000"/>
    <s v="Chrome"/>
    <s v="1920x1080"/>
    <m/>
  </r>
  <r>
    <x v="1"/>
    <s v="baseline"/>
    <x v="1"/>
    <n v="1"/>
    <n v="1"/>
    <n v="2"/>
    <n v="3"/>
    <n v="10"/>
    <n v="60.006"/>
    <n v="59.171999999999997"/>
    <n v="60.975999999999999"/>
    <n v="16.666"/>
    <n v="16.399999999999999"/>
    <n v="16.899999999999999"/>
    <n v="2001"/>
    <n v="2001"/>
    <n v="2001"/>
    <n v="2000"/>
    <s v="Chrome"/>
    <s v="1920x1080"/>
    <m/>
  </r>
  <r>
    <x v="1"/>
    <s v="baseline"/>
    <x v="1"/>
    <n v="1"/>
    <n v="1"/>
    <n v="3"/>
    <n v="3"/>
    <n v="10"/>
    <n v="60.006"/>
    <n v="58.823999999999998"/>
    <n v="60.975999999999999"/>
    <n v="16.666"/>
    <n v="16.399999999999999"/>
    <n v="17"/>
    <n v="2001"/>
    <n v="2001"/>
    <n v="2001"/>
    <n v="2000"/>
    <s v="Chrome"/>
    <s v="1920x1080"/>
    <m/>
  </r>
  <r>
    <x v="2"/>
    <s v="baseline"/>
    <x v="2"/>
    <n v="1"/>
    <n v="1"/>
    <n v="1"/>
    <n v="3"/>
    <n v="10"/>
    <n v="59.262"/>
    <n v="10"/>
    <n v="60.975999999999999"/>
    <n v="17.268999999999998"/>
    <n v="16.399999999999999"/>
    <n v="100"/>
    <n v="3001"/>
    <n v="3001"/>
    <n v="3001"/>
    <n v="3000"/>
    <s v="Chrome"/>
    <s v="1920x1080"/>
    <m/>
  </r>
  <r>
    <x v="2"/>
    <s v="baseline"/>
    <x v="2"/>
    <n v="1"/>
    <n v="1"/>
    <n v="2"/>
    <n v="3"/>
    <n v="10"/>
    <n v="60.005000000000003"/>
    <n v="59.171999999999997"/>
    <n v="60.975999999999999"/>
    <n v="16.666"/>
    <n v="16.399999999999999"/>
    <n v="16.899999999999999"/>
    <n v="3001"/>
    <n v="3001"/>
    <n v="3001"/>
    <n v="3000"/>
    <s v="Chrome"/>
    <s v="1920x1080"/>
    <m/>
  </r>
  <r>
    <x v="2"/>
    <s v="baseline"/>
    <x v="2"/>
    <n v="1"/>
    <n v="1"/>
    <n v="3"/>
    <n v="3"/>
    <n v="10"/>
    <n v="59.887"/>
    <n v="20"/>
    <n v="60.975999999999999"/>
    <n v="16.748999999999999"/>
    <n v="16.399999999999999"/>
    <n v="50"/>
    <n v="3001"/>
    <n v="3001"/>
    <n v="3001"/>
    <n v="3000"/>
    <s v="Chrome"/>
    <s v="1920x1080"/>
    <m/>
  </r>
  <r>
    <x v="3"/>
    <s v="baseline"/>
    <x v="3"/>
    <n v="1"/>
    <n v="1"/>
    <n v="1"/>
    <n v="3"/>
    <n v="10"/>
    <n v="60.006"/>
    <n v="59.171999999999997"/>
    <n v="60.975999999999999"/>
    <n v="16.664999999999999"/>
    <n v="16.399999999999999"/>
    <n v="16.899999999999999"/>
    <n v="4001"/>
    <n v="4001"/>
    <n v="4001"/>
    <n v="4000"/>
    <s v="Chrome"/>
    <s v="1920x1080"/>
    <m/>
  </r>
  <r>
    <x v="3"/>
    <s v="baseline"/>
    <x v="3"/>
    <n v="1"/>
    <n v="1"/>
    <n v="2"/>
    <n v="3"/>
    <n v="10"/>
    <n v="60.005000000000003"/>
    <n v="58.48"/>
    <n v="61.35"/>
    <n v="16.666"/>
    <n v="16.3"/>
    <n v="17.100000000000001"/>
    <n v="4001"/>
    <n v="4001"/>
    <n v="4001"/>
    <n v="4000"/>
    <s v="Chrome"/>
    <s v="1920x1080"/>
    <m/>
  </r>
  <r>
    <x v="3"/>
    <s v="baseline"/>
    <x v="3"/>
    <n v="1"/>
    <n v="1"/>
    <n v="3"/>
    <n v="3"/>
    <n v="10"/>
    <n v="60.006"/>
    <n v="59.171999999999997"/>
    <n v="60.606000000000002"/>
    <n v="16.664999999999999"/>
    <n v="16.5"/>
    <n v="16.899999999999999"/>
    <n v="4001"/>
    <n v="4001"/>
    <n v="4001"/>
    <n v="4000"/>
    <s v="Chrome"/>
    <s v="1920x1080"/>
    <m/>
  </r>
  <r>
    <x v="4"/>
    <s v="baseline"/>
    <x v="4"/>
    <n v="1"/>
    <n v="1"/>
    <n v="1"/>
    <n v="3"/>
    <n v="10"/>
    <n v="58.371000000000002"/>
    <n v="29.850999999999999"/>
    <n v="61.35"/>
    <n v="17.571999999999999"/>
    <n v="16.3"/>
    <n v="33.5"/>
    <n v="5001"/>
    <n v="5001"/>
    <n v="5001"/>
    <n v="5000"/>
    <s v="Chrome"/>
    <s v="1920x1080"/>
    <m/>
  </r>
  <r>
    <x v="4"/>
    <s v="baseline"/>
    <x v="4"/>
    <n v="1"/>
    <n v="1"/>
    <n v="2"/>
    <n v="3"/>
    <n v="10"/>
    <n v="60.005000000000003"/>
    <n v="59.171999999999997"/>
    <n v="60.975999999999999"/>
    <n v="16.666"/>
    <n v="16.399999999999999"/>
    <n v="16.899999999999999"/>
    <n v="5001"/>
    <n v="5001"/>
    <n v="5001"/>
    <n v="5000"/>
    <s v="Chrome"/>
    <s v="1920x1080"/>
    <m/>
  </r>
  <r>
    <x v="4"/>
    <s v="baseline"/>
    <x v="4"/>
    <n v="1"/>
    <n v="1"/>
    <n v="3"/>
    <n v="3"/>
    <n v="10"/>
    <n v="59.737000000000002"/>
    <n v="20"/>
    <n v="60.975999999999999"/>
    <n v="16.834"/>
    <n v="16.399999999999999"/>
    <n v="50"/>
    <n v="5001"/>
    <n v="5001"/>
    <n v="5001"/>
    <n v="5000"/>
    <s v="Chrome"/>
    <s v="1920x1080"/>
    <m/>
  </r>
  <r>
    <x v="5"/>
    <s v="baseline"/>
    <x v="5"/>
    <n v="1"/>
    <n v="1"/>
    <n v="1"/>
    <n v="3"/>
    <n v="10"/>
    <n v="54.289000000000001"/>
    <n v="19.96"/>
    <n v="60.606000000000002"/>
    <n v="19.873000000000001"/>
    <n v="16.5"/>
    <n v="50.1"/>
    <n v="6001"/>
    <n v="6001"/>
    <n v="6001"/>
    <n v="6000"/>
    <s v="Chrome"/>
    <s v="1920x1080"/>
    <m/>
  </r>
  <r>
    <x v="5"/>
    <s v="baseline"/>
    <x v="5"/>
    <n v="1"/>
    <n v="1"/>
    <n v="2"/>
    <n v="3"/>
    <n v="10"/>
    <n v="56.615000000000002"/>
    <n v="19.96"/>
    <n v="60.975999999999999"/>
    <n v="18.582999999999998"/>
    <n v="16.399999999999999"/>
    <n v="50.1"/>
    <n v="6001"/>
    <n v="6001"/>
    <n v="6001"/>
    <n v="6000"/>
    <s v="Chrome"/>
    <s v="1920x1080"/>
    <m/>
  </r>
  <r>
    <x v="5"/>
    <s v="baseline"/>
    <x v="5"/>
    <n v="1"/>
    <n v="1"/>
    <n v="3"/>
    <n v="3"/>
    <n v="10"/>
    <n v="51.847999999999999"/>
    <n v="14.993"/>
    <n v="60.606000000000002"/>
    <n v="21.265999999999998"/>
    <n v="16.5"/>
    <n v="66.7"/>
    <n v="6001"/>
    <n v="6001"/>
    <n v="6001"/>
    <n v="6000"/>
    <s v="Chrome"/>
    <s v="1920x1080"/>
    <m/>
  </r>
  <r>
    <x v="6"/>
    <s v="baseline"/>
    <x v="6"/>
    <n v="1"/>
    <n v="1"/>
    <n v="1"/>
    <n v="3"/>
    <n v="10"/>
    <n v="40.920999999999999"/>
    <n v="14.993"/>
    <n v="60.975999999999999"/>
    <n v="27.486999999999998"/>
    <n v="16.399999999999999"/>
    <n v="66.7"/>
    <n v="7001"/>
    <n v="7001"/>
    <n v="7001"/>
    <n v="7000"/>
    <s v="Chrome"/>
    <s v="1920x1080"/>
    <m/>
  </r>
  <r>
    <x v="6"/>
    <s v="baseline"/>
    <x v="6"/>
    <n v="1"/>
    <n v="1"/>
    <n v="2"/>
    <n v="3"/>
    <n v="10"/>
    <n v="41.639000000000003"/>
    <n v="14.948"/>
    <n v="60.606000000000002"/>
    <n v="27.143000000000001"/>
    <n v="16.5"/>
    <n v="66.900000000000006"/>
    <n v="7001"/>
    <n v="7001"/>
    <n v="7001"/>
    <n v="7000"/>
    <s v="Chrome"/>
    <s v="1920x1080"/>
    <m/>
  </r>
  <r>
    <x v="6"/>
    <s v="baseline"/>
    <x v="6"/>
    <n v="1"/>
    <n v="1"/>
    <n v="3"/>
    <n v="3"/>
    <n v="10"/>
    <n v="39.658000000000001"/>
    <n v="14.993"/>
    <n v="60.241"/>
    <n v="28.135000000000002"/>
    <n v="16.600000000000001"/>
    <n v="66.7"/>
    <n v="7001"/>
    <n v="7001"/>
    <n v="7001"/>
    <n v="7000"/>
    <s v="Chrome"/>
    <s v="1920x1080"/>
    <m/>
  </r>
  <r>
    <x v="7"/>
    <s v="baseline"/>
    <x v="7"/>
    <n v="1"/>
    <n v="1"/>
    <n v="1"/>
    <n v="3"/>
    <n v="10"/>
    <n v="31.468"/>
    <n v="19.920000000000002"/>
    <n v="60.606000000000002"/>
    <n v="33.331000000000003"/>
    <n v="16.5"/>
    <n v="50.2"/>
    <n v="8001"/>
    <n v="8001"/>
    <n v="8001"/>
    <n v="8000"/>
    <s v="Chrome"/>
    <s v="1920x1080"/>
    <m/>
  </r>
  <r>
    <x v="7"/>
    <s v="baseline"/>
    <x v="7"/>
    <n v="1"/>
    <n v="1"/>
    <n v="2"/>
    <n v="3"/>
    <n v="10"/>
    <n v="41.521999999999998"/>
    <n v="14.993"/>
    <n v="60.606000000000002"/>
    <n v="27.638999999999999"/>
    <n v="16.5"/>
    <n v="66.7"/>
    <n v="8001"/>
    <n v="8001"/>
    <n v="8001"/>
    <n v="8000"/>
    <s v="Chrome"/>
    <s v="1920x1080"/>
    <m/>
  </r>
  <r>
    <x v="7"/>
    <s v="baseline"/>
    <x v="7"/>
    <n v="1"/>
    <n v="1"/>
    <n v="3"/>
    <n v="3"/>
    <n v="10"/>
    <n v="32.470999999999997"/>
    <n v="19.96"/>
    <n v="60.241"/>
    <n v="32.68"/>
    <n v="16.600000000000001"/>
    <n v="50.1"/>
    <n v="8001"/>
    <n v="8001"/>
    <n v="8001"/>
    <n v="8000"/>
    <s v="Chrome"/>
    <s v="1920x1080"/>
    <m/>
  </r>
  <r>
    <x v="8"/>
    <s v="baseline"/>
    <x v="8"/>
    <n v="1"/>
    <n v="1"/>
    <n v="1"/>
    <n v="3"/>
    <n v="10"/>
    <n v="34.985999999999997"/>
    <n v="14.993"/>
    <n v="60.606000000000002"/>
    <n v="31.597000000000001"/>
    <n v="16.5"/>
    <n v="66.7"/>
    <n v="9001"/>
    <n v="9001"/>
    <n v="9001"/>
    <n v="9000"/>
    <s v="Chrome"/>
    <s v="1920x1080"/>
    <m/>
  </r>
  <r>
    <x v="8"/>
    <s v="baseline"/>
    <x v="8"/>
    <n v="1"/>
    <n v="1"/>
    <n v="2"/>
    <n v="3"/>
    <n v="10"/>
    <n v="36.087000000000003"/>
    <n v="19.96"/>
    <n v="60.606000000000002"/>
    <n v="30.077999999999999"/>
    <n v="16.5"/>
    <n v="50.1"/>
    <n v="9001"/>
    <n v="9001"/>
    <n v="9001"/>
    <n v="9000"/>
    <s v="Chrome"/>
    <s v="1920x1080"/>
    <m/>
  </r>
  <r>
    <x v="8"/>
    <s v="baseline"/>
    <x v="8"/>
    <n v="1"/>
    <n v="1"/>
    <n v="3"/>
    <n v="3"/>
    <n v="10"/>
    <n v="39.487000000000002"/>
    <n v="29.850999999999999"/>
    <n v="60.606000000000002"/>
    <n v="28.056000000000001"/>
    <n v="16.5"/>
    <n v="33.5"/>
    <n v="9001"/>
    <n v="9001"/>
    <n v="9001"/>
    <n v="9000"/>
    <s v="Chrome"/>
    <s v="1920x1080"/>
    <m/>
  </r>
  <r>
    <x v="9"/>
    <s v="baseline"/>
    <x v="9"/>
    <n v="1"/>
    <n v="1"/>
    <n v="1"/>
    <n v="3"/>
    <n v="10"/>
    <n v="29.099"/>
    <n v="19.920000000000002"/>
    <n v="30.210999999999999"/>
    <n v="34.835999999999999"/>
    <n v="33.1"/>
    <n v="50.2"/>
    <n v="10001"/>
    <n v="10001"/>
    <n v="10001"/>
    <n v="10000"/>
    <s v="Chrome"/>
    <s v="1920x1080"/>
    <m/>
  </r>
  <r>
    <x v="9"/>
    <s v="baseline"/>
    <x v="9"/>
    <n v="1"/>
    <n v="1"/>
    <n v="2"/>
    <n v="3"/>
    <n v="10"/>
    <n v="33.378999999999998"/>
    <n v="12.005000000000001"/>
    <n v="60.606000000000002"/>
    <n v="31.797000000000001"/>
    <n v="16.5"/>
    <n v="83.3"/>
    <n v="10001"/>
    <n v="10001"/>
    <n v="10001"/>
    <n v="10000"/>
    <s v="Chrome"/>
    <s v="1920x1080"/>
    <m/>
  </r>
  <r>
    <x v="9"/>
    <s v="baseline"/>
    <x v="9"/>
    <n v="1"/>
    <n v="1"/>
    <n v="3"/>
    <n v="3"/>
    <n v="10"/>
    <n v="32.319000000000003"/>
    <n v="14.993"/>
    <n v="60.241"/>
    <n v="32.31"/>
    <n v="16.600000000000001"/>
    <n v="66.7"/>
    <n v="10001"/>
    <n v="10001"/>
    <n v="10001"/>
    <n v="10000"/>
    <s v="Chrome"/>
    <s v="1920x108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BD62F-BB31-4479-B124-C3448BB79FE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bjectCount">
  <location ref="A3:E14" firstHeaderRow="0" firstDataRow="1" firstDataCol="1"/>
  <pivotFields count="21"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vgFps" fld="8" subtotal="average" baseField="0" baseItem="0"/>
    <dataField name="Average of avgFrameTimeMs" fld="11" subtotal="average" baseField="0" baseItem="0"/>
    <dataField name="Average of runtimeDrawCallsAvg" fld="14" subtotal="average" baseField="0" baseItem="0"/>
    <dataField name="Average of objectRenderMeshInstances" fld="17" subtotal="average" baseField="0" baseItem="0"/>
  </dataFields>
  <formats count="17">
    <format dxfId="16">
      <pivotArea dataOnly="0" fieldPosition="0">
        <references count="1">
          <reference field="2" count="1">
            <x v="9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3"/>
          </reference>
          <reference field="2" count="0"/>
        </references>
      </pivotArea>
    </format>
    <format dxfId="1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">
      <pivotArea field="2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">
      <pivotArea dataOnly="0" outline="0" fieldPosition="0">
        <references count="1">
          <reference field="4294967294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">
      <pivotArea field="2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">
      <pivotArea dataOnly="0" fieldPosition="0">
        <references count="1">
          <reference field="2" count="1">
            <x v="1"/>
          </reference>
        </references>
      </pivotArea>
    </format>
    <format dxfId="3">
      <pivotArea dataOnly="0" fieldPosition="0">
        <references count="1">
          <reference field="2" count="1">
            <x v="3"/>
          </reference>
        </references>
      </pivotArea>
    </format>
    <format dxfId="2">
      <pivotArea dataOnly="0" fieldPosition="0">
        <references count="1">
          <reference field="2" count="1">
            <x v="5"/>
          </reference>
        </references>
      </pivotArea>
    </format>
    <format dxfId="1">
      <pivotArea dataOnly="0" fieldPosition="0">
        <references count="1">
          <reference field="2" count="1">
            <x v="7"/>
          </reference>
        </references>
      </pivotArea>
    </format>
    <format dxfId="0">
      <pivotArea dataOnly="0" fieldPosition="0">
        <references count="1">
          <reference field="2" count="1">
            <x v="9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95DD-25AE-441C-B3E8-5EF3A6A46697}">
  <dimension ref="A1:U31"/>
  <sheetViews>
    <sheetView workbookViewId="0">
      <selection activeCell="C17" sqref="C17"/>
    </sheetView>
  </sheetViews>
  <sheetFormatPr defaultRowHeight="14.4" x14ac:dyDescent="0.3"/>
  <cols>
    <col min="15" max="16" width="8.88671875" customWidth="1"/>
    <col min="17" max="17" width="11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1000</v>
      </c>
      <c r="D2">
        <v>1</v>
      </c>
      <c r="E2">
        <v>1</v>
      </c>
      <c r="F2">
        <v>1</v>
      </c>
      <c r="G2">
        <v>3</v>
      </c>
      <c r="H2">
        <v>10</v>
      </c>
      <c r="I2">
        <v>60.005000000000003</v>
      </c>
      <c r="J2">
        <v>58.823999999999998</v>
      </c>
      <c r="K2">
        <v>61.35</v>
      </c>
      <c r="L2">
        <v>16.666</v>
      </c>
      <c r="M2">
        <v>16.3</v>
      </c>
      <c r="N2">
        <v>17</v>
      </c>
      <c r="O2">
        <v>1001</v>
      </c>
      <c r="P2">
        <v>1001</v>
      </c>
      <c r="Q2">
        <v>1001</v>
      </c>
      <c r="R2">
        <v>1000</v>
      </c>
      <c r="S2" t="s">
        <v>23</v>
      </c>
      <c r="T2" t="s">
        <v>24</v>
      </c>
    </row>
    <row r="3" spans="1:21" x14ac:dyDescent="0.3">
      <c r="A3" t="s">
        <v>21</v>
      </c>
      <c r="B3" t="s">
        <v>22</v>
      </c>
      <c r="C3">
        <v>1000</v>
      </c>
      <c r="D3">
        <v>1</v>
      </c>
      <c r="E3">
        <v>1</v>
      </c>
      <c r="F3">
        <v>2</v>
      </c>
      <c r="G3">
        <v>3</v>
      </c>
      <c r="H3">
        <v>10</v>
      </c>
      <c r="I3">
        <v>60.005000000000003</v>
      </c>
      <c r="J3">
        <v>59.171999999999997</v>
      </c>
      <c r="K3">
        <v>60.975999999999999</v>
      </c>
      <c r="L3">
        <v>16.666</v>
      </c>
      <c r="M3">
        <v>16.399999999999999</v>
      </c>
      <c r="N3">
        <v>16.899999999999999</v>
      </c>
      <c r="O3">
        <v>1001</v>
      </c>
      <c r="P3">
        <v>1001</v>
      </c>
      <c r="Q3">
        <v>1001</v>
      </c>
      <c r="R3">
        <v>1000</v>
      </c>
      <c r="S3" t="s">
        <v>23</v>
      </c>
      <c r="T3" t="s">
        <v>24</v>
      </c>
    </row>
    <row r="4" spans="1:21" x14ac:dyDescent="0.3">
      <c r="A4" t="s">
        <v>21</v>
      </c>
      <c r="B4" t="s">
        <v>22</v>
      </c>
      <c r="C4">
        <v>1000</v>
      </c>
      <c r="D4">
        <v>1</v>
      </c>
      <c r="E4">
        <v>1</v>
      </c>
      <c r="F4">
        <v>3</v>
      </c>
      <c r="G4">
        <v>3</v>
      </c>
      <c r="H4">
        <v>10</v>
      </c>
      <c r="I4">
        <v>60.006</v>
      </c>
      <c r="J4">
        <v>59.171999999999997</v>
      </c>
      <c r="K4">
        <v>61.35</v>
      </c>
      <c r="L4">
        <v>16.666</v>
      </c>
      <c r="M4">
        <v>16.3</v>
      </c>
      <c r="N4">
        <v>16.899999999999999</v>
      </c>
      <c r="O4">
        <v>1001</v>
      </c>
      <c r="P4">
        <v>1001</v>
      </c>
      <c r="Q4">
        <v>1001</v>
      </c>
      <c r="R4">
        <v>1000</v>
      </c>
      <c r="S4" t="s">
        <v>23</v>
      </c>
      <c r="T4" t="s">
        <v>24</v>
      </c>
    </row>
    <row r="5" spans="1:21" x14ac:dyDescent="0.3">
      <c r="A5" t="s">
        <v>25</v>
      </c>
      <c r="B5" t="s">
        <v>22</v>
      </c>
      <c r="C5">
        <v>2000</v>
      </c>
      <c r="D5">
        <v>1</v>
      </c>
      <c r="E5">
        <v>1</v>
      </c>
      <c r="F5">
        <v>1</v>
      </c>
      <c r="G5">
        <v>3</v>
      </c>
      <c r="H5">
        <v>10</v>
      </c>
      <c r="I5">
        <v>60.005000000000003</v>
      </c>
      <c r="J5">
        <v>58.823999999999998</v>
      </c>
      <c r="K5">
        <v>61.35</v>
      </c>
      <c r="L5">
        <v>16.666</v>
      </c>
      <c r="M5">
        <v>16.3</v>
      </c>
      <c r="N5">
        <v>17</v>
      </c>
      <c r="O5">
        <v>2001</v>
      </c>
      <c r="P5">
        <v>2001</v>
      </c>
      <c r="Q5">
        <v>2001</v>
      </c>
      <c r="R5">
        <v>2000</v>
      </c>
      <c r="S5" t="s">
        <v>23</v>
      </c>
      <c r="T5" t="s">
        <v>24</v>
      </c>
    </row>
    <row r="6" spans="1:21" x14ac:dyDescent="0.3">
      <c r="A6" t="s">
        <v>25</v>
      </c>
      <c r="B6" t="s">
        <v>22</v>
      </c>
      <c r="C6">
        <v>2000</v>
      </c>
      <c r="D6">
        <v>1</v>
      </c>
      <c r="E6">
        <v>1</v>
      </c>
      <c r="F6">
        <v>2</v>
      </c>
      <c r="G6">
        <v>3</v>
      </c>
      <c r="H6">
        <v>10</v>
      </c>
      <c r="I6">
        <v>60.006</v>
      </c>
      <c r="J6">
        <v>59.171999999999997</v>
      </c>
      <c r="K6">
        <v>60.975999999999999</v>
      </c>
      <c r="L6">
        <v>16.666</v>
      </c>
      <c r="M6">
        <v>16.399999999999999</v>
      </c>
      <c r="N6">
        <v>16.899999999999999</v>
      </c>
      <c r="O6">
        <v>2001</v>
      </c>
      <c r="P6">
        <v>2001</v>
      </c>
      <c r="Q6">
        <v>2001</v>
      </c>
      <c r="R6">
        <v>2000</v>
      </c>
      <c r="S6" t="s">
        <v>23</v>
      </c>
      <c r="T6" t="s">
        <v>24</v>
      </c>
    </row>
    <row r="7" spans="1:21" x14ac:dyDescent="0.3">
      <c r="A7" t="s">
        <v>25</v>
      </c>
      <c r="B7" t="s">
        <v>22</v>
      </c>
      <c r="C7">
        <v>2000</v>
      </c>
      <c r="D7">
        <v>1</v>
      </c>
      <c r="E7">
        <v>1</v>
      </c>
      <c r="F7">
        <v>3</v>
      </c>
      <c r="G7">
        <v>3</v>
      </c>
      <c r="H7">
        <v>10</v>
      </c>
      <c r="I7">
        <v>60.006</v>
      </c>
      <c r="J7">
        <v>58.823999999999998</v>
      </c>
      <c r="K7">
        <v>60.975999999999999</v>
      </c>
      <c r="L7">
        <v>16.666</v>
      </c>
      <c r="M7">
        <v>16.399999999999999</v>
      </c>
      <c r="N7">
        <v>17</v>
      </c>
      <c r="O7">
        <v>2001</v>
      </c>
      <c r="P7">
        <v>2001</v>
      </c>
      <c r="Q7">
        <v>2001</v>
      </c>
      <c r="R7">
        <v>2000</v>
      </c>
      <c r="S7" t="s">
        <v>23</v>
      </c>
      <c r="T7" t="s">
        <v>24</v>
      </c>
    </row>
    <row r="8" spans="1:21" x14ac:dyDescent="0.3">
      <c r="A8" t="s">
        <v>26</v>
      </c>
      <c r="B8" t="s">
        <v>22</v>
      </c>
      <c r="C8">
        <v>3000</v>
      </c>
      <c r="D8">
        <v>1</v>
      </c>
      <c r="E8">
        <v>1</v>
      </c>
      <c r="F8">
        <v>1</v>
      </c>
      <c r="G8">
        <v>3</v>
      </c>
      <c r="H8">
        <v>10</v>
      </c>
      <c r="I8">
        <v>59.262</v>
      </c>
      <c r="J8">
        <v>10</v>
      </c>
      <c r="K8">
        <v>60.975999999999999</v>
      </c>
      <c r="L8">
        <v>17.268999999999998</v>
      </c>
      <c r="M8">
        <v>16.399999999999999</v>
      </c>
      <c r="N8">
        <v>100</v>
      </c>
      <c r="O8">
        <v>3001</v>
      </c>
      <c r="P8">
        <v>3001</v>
      </c>
      <c r="Q8">
        <v>3001</v>
      </c>
      <c r="R8">
        <v>3000</v>
      </c>
      <c r="S8" t="s">
        <v>23</v>
      </c>
      <c r="T8" t="s">
        <v>24</v>
      </c>
    </row>
    <row r="9" spans="1:21" x14ac:dyDescent="0.3">
      <c r="A9" t="s">
        <v>26</v>
      </c>
      <c r="B9" t="s">
        <v>22</v>
      </c>
      <c r="C9">
        <v>3000</v>
      </c>
      <c r="D9">
        <v>1</v>
      </c>
      <c r="E9">
        <v>1</v>
      </c>
      <c r="F9">
        <v>2</v>
      </c>
      <c r="G9">
        <v>3</v>
      </c>
      <c r="H9">
        <v>10</v>
      </c>
      <c r="I9">
        <v>60.005000000000003</v>
      </c>
      <c r="J9">
        <v>59.171999999999997</v>
      </c>
      <c r="K9">
        <v>60.975999999999999</v>
      </c>
      <c r="L9">
        <v>16.666</v>
      </c>
      <c r="M9">
        <v>16.399999999999999</v>
      </c>
      <c r="N9">
        <v>16.899999999999999</v>
      </c>
      <c r="O9">
        <v>3001</v>
      </c>
      <c r="P9">
        <v>3001</v>
      </c>
      <c r="Q9">
        <v>3001</v>
      </c>
      <c r="R9">
        <v>3000</v>
      </c>
      <c r="S9" t="s">
        <v>23</v>
      </c>
      <c r="T9" t="s">
        <v>24</v>
      </c>
    </row>
    <row r="10" spans="1:21" x14ac:dyDescent="0.3">
      <c r="A10" t="s">
        <v>26</v>
      </c>
      <c r="B10" t="s">
        <v>22</v>
      </c>
      <c r="C10">
        <v>3000</v>
      </c>
      <c r="D10">
        <v>1</v>
      </c>
      <c r="E10">
        <v>1</v>
      </c>
      <c r="F10">
        <v>3</v>
      </c>
      <c r="G10">
        <v>3</v>
      </c>
      <c r="H10">
        <v>10</v>
      </c>
      <c r="I10">
        <v>59.887</v>
      </c>
      <c r="J10">
        <v>20</v>
      </c>
      <c r="K10">
        <v>60.975999999999999</v>
      </c>
      <c r="L10">
        <v>16.748999999999999</v>
      </c>
      <c r="M10">
        <v>16.399999999999999</v>
      </c>
      <c r="N10">
        <v>50</v>
      </c>
      <c r="O10">
        <v>3001</v>
      </c>
      <c r="P10">
        <v>3001</v>
      </c>
      <c r="Q10">
        <v>3001</v>
      </c>
      <c r="R10">
        <v>3000</v>
      </c>
      <c r="S10" t="s">
        <v>23</v>
      </c>
      <c r="T10" t="s">
        <v>24</v>
      </c>
    </row>
    <row r="11" spans="1:21" x14ac:dyDescent="0.3">
      <c r="A11" t="s">
        <v>27</v>
      </c>
      <c r="B11" t="s">
        <v>22</v>
      </c>
      <c r="C11">
        <v>4000</v>
      </c>
      <c r="D11">
        <v>1</v>
      </c>
      <c r="E11">
        <v>1</v>
      </c>
      <c r="F11">
        <v>1</v>
      </c>
      <c r="G11">
        <v>3</v>
      </c>
      <c r="H11">
        <v>10</v>
      </c>
      <c r="I11">
        <v>60.006</v>
      </c>
      <c r="J11">
        <v>59.171999999999997</v>
      </c>
      <c r="K11">
        <v>60.975999999999999</v>
      </c>
      <c r="L11">
        <v>16.664999999999999</v>
      </c>
      <c r="M11">
        <v>16.399999999999999</v>
      </c>
      <c r="N11">
        <v>16.899999999999999</v>
      </c>
      <c r="O11">
        <v>4001</v>
      </c>
      <c r="P11">
        <v>4001</v>
      </c>
      <c r="Q11">
        <v>4001</v>
      </c>
      <c r="R11">
        <v>4000</v>
      </c>
      <c r="S11" t="s">
        <v>23</v>
      </c>
      <c r="T11" t="s">
        <v>24</v>
      </c>
    </row>
    <row r="12" spans="1:21" x14ac:dyDescent="0.3">
      <c r="A12" t="s">
        <v>27</v>
      </c>
      <c r="B12" t="s">
        <v>22</v>
      </c>
      <c r="C12">
        <v>4000</v>
      </c>
      <c r="D12">
        <v>1</v>
      </c>
      <c r="E12">
        <v>1</v>
      </c>
      <c r="F12">
        <v>2</v>
      </c>
      <c r="G12">
        <v>3</v>
      </c>
      <c r="H12">
        <v>10</v>
      </c>
      <c r="I12">
        <v>60.005000000000003</v>
      </c>
      <c r="J12">
        <v>58.48</v>
      </c>
      <c r="K12">
        <v>61.35</v>
      </c>
      <c r="L12">
        <v>16.666</v>
      </c>
      <c r="M12">
        <v>16.3</v>
      </c>
      <c r="N12">
        <v>17.100000000000001</v>
      </c>
      <c r="O12">
        <v>4001</v>
      </c>
      <c r="P12">
        <v>4001</v>
      </c>
      <c r="Q12">
        <v>4001</v>
      </c>
      <c r="R12">
        <v>4000</v>
      </c>
      <c r="S12" t="s">
        <v>23</v>
      </c>
      <c r="T12" t="s">
        <v>24</v>
      </c>
    </row>
    <row r="13" spans="1:21" x14ac:dyDescent="0.3">
      <c r="A13" t="s">
        <v>27</v>
      </c>
      <c r="B13" t="s">
        <v>22</v>
      </c>
      <c r="C13">
        <v>4000</v>
      </c>
      <c r="D13">
        <v>1</v>
      </c>
      <c r="E13">
        <v>1</v>
      </c>
      <c r="F13">
        <v>3</v>
      </c>
      <c r="G13">
        <v>3</v>
      </c>
      <c r="H13">
        <v>10</v>
      </c>
      <c r="I13">
        <v>60.006</v>
      </c>
      <c r="J13">
        <v>59.171999999999997</v>
      </c>
      <c r="K13">
        <v>60.606000000000002</v>
      </c>
      <c r="L13">
        <v>16.664999999999999</v>
      </c>
      <c r="M13">
        <v>16.5</v>
      </c>
      <c r="N13">
        <v>16.899999999999999</v>
      </c>
      <c r="O13">
        <v>4001</v>
      </c>
      <c r="P13">
        <v>4001</v>
      </c>
      <c r="Q13">
        <v>4001</v>
      </c>
      <c r="R13">
        <v>4000</v>
      </c>
      <c r="S13" t="s">
        <v>23</v>
      </c>
      <c r="T13" t="s">
        <v>24</v>
      </c>
    </row>
    <row r="14" spans="1:21" x14ac:dyDescent="0.3">
      <c r="A14" t="s">
        <v>28</v>
      </c>
      <c r="B14" t="s">
        <v>22</v>
      </c>
      <c r="C14">
        <v>5000</v>
      </c>
      <c r="D14">
        <v>1</v>
      </c>
      <c r="E14">
        <v>1</v>
      </c>
      <c r="F14">
        <v>1</v>
      </c>
      <c r="G14">
        <v>3</v>
      </c>
      <c r="H14">
        <v>10</v>
      </c>
      <c r="I14">
        <v>58.371000000000002</v>
      </c>
      <c r="J14">
        <v>29.850999999999999</v>
      </c>
      <c r="K14">
        <v>61.35</v>
      </c>
      <c r="L14">
        <v>17.571999999999999</v>
      </c>
      <c r="M14">
        <v>16.3</v>
      </c>
      <c r="N14">
        <v>33.5</v>
      </c>
      <c r="O14">
        <v>5001</v>
      </c>
      <c r="P14">
        <v>5001</v>
      </c>
      <c r="Q14">
        <v>5001</v>
      </c>
      <c r="R14">
        <v>5000</v>
      </c>
      <c r="S14" t="s">
        <v>23</v>
      </c>
      <c r="T14" t="s">
        <v>24</v>
      </c>
    </row>
    <row r="15" spans="1:21" x14ac:dyDescent="0.3">
      <c r="A15" t="s">
        <v>28</v>
      </c>
      <c r="B15" t="s">
        <v>22</v>
      </c>
      <c r="C15">
        <v>5000</v>
      </c>
      <c r="D15">
        <v>1</v>
      </c>
      <c r="E15">
        <v>1</v>
      </c>
      <c r="F15">
        <v>2</v>
      </c>
      <c r="G15">
        <v>3</v>
      </c>
      <c r="H15">
        <v>10</v>
      </c>
      <c r="I15">
        <v>60.005000000000003</v>
      </c>
      <c r="J15">
        <v>59.171999999999997</v>
      </c>
      <c r="K15">
        <v>60.975999999999999</v>
      </c>
      <c r="L15">
        <v>16.666</v>
      </c>
      <c r="M15">
        <v>16.399999999999999</v>
      </c>
      <c r="N15">
        <v>16.899999999999999</v>
      </c>
      <c r="O15">
        <v>5001</v>
      </c>
      <c r="P15">
        <v>5001</v>
      </c>
      <c r="Q15">
        <v>5001</v>
      </c>
      <c r="R15">
        <v>5000</v>
      </c>
      <c r="S15" t="s">
        <v>23</v>
      </c>
      <c r="T15" t="s">
        <v>24</v>
      </c>
    </row>
    <row r="16" spans="1:21" x14ac:dyDescent="0.3">
      <c r="A16" t="s">
        <v>28</v>
      </c>
      <c r="B16" t="s">
        <v>22</v>
      </c>
      <c r="C16">
        <v>5000</v>
      </c>
      <c r="D16">
        <v>1</v>
      </c>
      <c r="E16">
        <v>1</v>
      </c>
      <c r="F16">
        <v>3</v>
      </c>
      <c r="G16">
        <v>3</v>
      </c>
      <c r="H16">
        <v>10</v>
      </c>
      <c r="I16">
        <v>59.737000000000002</v>
      </c>
      <c r="J16">
        <v>20</v>
      </c>
      <c r="K16">
        <v>60.975999999999999</v>
      </c>
      <c r="L16">
        <v>16.834</v>
      </c>
      <c r="M16">
        <v>16.399999999999999</v>
      </c>
      <c r="N16">
        <v>50</v>
      </c>
      <c r="O16">
        <v>5001</v>
      </c>
      <c r="P16">
        <v>5001</v>
      </c>
      <c r="Q16">
        <v>5001</v>
      </c>
      <c r="R16">
        <v>5000</v>
      </c>
      <c r="S16" t="s">
        <v>23</v>
      </c>
      <c r="T16" t="s">
        <v>24</v>
      </c>
    </row>
    <row r="17" spans="1:20" x14ac:dyDescent="0.3">
      <c r="A17" t="s">
        <v>29</v>
      </c>
      <c r="B17" t="s">
        <v>22</v>
      </c>
      <c r="C17">
        <v>6000</v>
      </c>
      <c r="D17">
        <v>1</v>
      </c>
      <c r="E17">
        <v>1</v>
      </c>
      <c r="F17">
        <v>1</v>
      </c>
      <c r="G17">
        <v>3</v>
      </c>
      <c r="H17">
        <v>10</v>
      </c>
      <c r="I17">
        <v>54.289000000000001</v>
      </c>
      <c r="J17">
        <v>19.96</v>
      </c>
      <c r="K17">
        <v>60.606000000000002</v>
      </c>
      <c r="L17">
        <v>19.873000000000001</v>
      </c>
      <c r="M17">
        <v>16.5</v>
      </c>
      <c r="N17">
        <v>50.1</v>
      </c>
      <c r="O17">
        <v>6001</v>
      </c>
      <c r="P17">
        <v>6001</v>
      </c>
      <c r="Q17">
        <v>6001</v>
      </c>
      <c r="R17">
        <v>6000</v>
      </c>
      <c r="S17" t="s">
        <v>23</v>
      </c>
      <c r="T17" t="s">
        <v>24</v>
      </c>
    </row>
    <row r="18" spans="1:20" x14ac:dyDescent="0.3">
      <c r="A18" t="s">
        <v>29</v>
      </c>
      <c r="B18" t="s">
        <v>22</v>
      </c>
      <c r="C18">
        <v>6000</v>
      </c>
      <c r="D18">
        <v>1</v>
      </c>
      <c r="E18">
        <v>1</v>
      </c>
      <c r="F18">
        <v>2</v>
      </c>
      <c r="G18">
        <v>3</v>
      </c>
      <c r="H18">
        <v>10</v>
      </c>
      <c r="I18">
        <v>56.615000000000002</v>
      </c>
      <c r="J18">
        <v>19.96</v>
      </c>
      <c r="K18">
        <v>60.975999999999999</v>
      </c>
      <c r="L18">
        <v>18.582999999999998</v>
      </c>
      <c r="M18">
        <v>16.399999999999999</v>
      </c>
      <c r="N18">
        <v>50.1</v>
      </c>
      <c r="O18">
        <v>6001</v>
      </c>
      <c r="P18">
        <v>6001</v>
      </c>
      <c r="Q18">
        <v>6001</v>
      </c>
      <c r="R18">
        <v>6000</v>
      </c>
      <c r="S18" t="s">
        <v>23</v>
      </c>
      <c r="T18" t="s">
        <v>24</v>
      </c>
    </row>
    <row r="19" spans="1:20" x14ac:dyDescent="0.3">
      <c r="A19" t="s">
        <v>29</v>
      </c>
      <c r="B19" t="s">
        <v>22</v>
      </c>
      <c r="C19">
        <v>6000</v>
      </c>
      <c r="D19">
        <v>1</v>
      </c>
      <c r="E19">
        <v>1</v>
      </c>
      <c r="F19">
        <v>3</v>
      </c>
      <c r="G19">
        <v>3</v>
      </c>
      <c r="H19">
        <v>10</v>
      </c>
      <c r="I19">
        <v>51.847999999999999</v>
      </c>
      <c r="J19">
        <v>14.993</v>
      </c>
      <c r="K19">
        <v>60.606000000000002</v>
      </c>
      <c r="L19">
        <v>21.265999999999998</v>
      </c>
      <c r="M19">
        <v>16.5</v>
      </c>
      <c r="N19">
        <v>66.7</v>
      </c>
      <c r="O19">
        <v>6001</v>
      </c>
      <c r="P19">
        <v>6001</v>
      </c>
      <c r="Q19">
        <v>6001</v>
      </c>
      <c r="R19">
        <v>6000</v>
      </c>
      <c r="S19" t="s">
        <v>23</v>
      </c>
      <c r="T19" t="s">
        <v>24</v>
      </c>
    </row>
    <row r="20" spans="1:20" x14ac:dyDescent="0.3">
      <c r="A20" t="s">
        <v>30</v>
      </c>
      <c r="B20" t="s">
        <v>22</v>
      </c>
      <c r="C20">
        <v>7000</v>
      </c>
      <c r="D20">
        <v>1</v>
      </c>
      <c r="E20">
        <v>1</v>
      </c>
      <c r="F20">
        <v>1</v>
      </c>
      <c r="G20">
        <v>3</v>
      </c>
      <c r="H20">
        <v>10</v>
      </c>
      <c r="I20">
        <v>40.920999999999999</v>
      </c>
      <c r="J20">
        <v>14.993</v>
      </c>
      <c r="K20">
        <v>60.975999999999999</v>
      </c>
      <c r="L20">
        <v>27.486999999999998</v>
      </c>
      <c r="M20">
        <v>16.399999999999999</v>
      </c>
      <c r="N20">
        <v>66.7</v>
      </c>
      <c r="O20">
        <v>7001</v>
      </c>
      <c r="P20">
        <v>7001</v>
      </c>
      <c r="Q20">
        <v>7001</v>
      </c>
      <c r="R20">
        <v>7000</v>
      </c>
      <c r="S20" t="s">
        <v>23</v>
      </c>
      <c r="T20" t="s">
        <v>24</v>
      </c>
    </row>
    <row r="21" spans="1:20" x14ac:dyDescent="0.3">
      <c r="A21" t="s">
        <v>30</v>
      </c>
      <c r="B21" t="s">
        <v>22</v>
      </c>
      <c r="C21">
        <v>7000</v>
      </c>
      <c r="D21">
        <v>1</v>
      </c>
      <c r="E21">
        <v>1</v>
      </c>
      <c r="F21">
        <v>2</v>
      </c>
      <c r="G21">
        <v>3</v>
      </c>
      <c r="H21">
        <v>10</v>
      </c>
      <c r="I21">
        <v>41.639000000000003</v>
      </c>
      <c r="J21">
        <v>14.948</v>
      </c>
      <c r="K21">
        <v>60.606000000000002</v>
      </c>
      <c r="L21">
        <v>27.143000000000001</v>
      </c>
      <c r="M21">
        <v>16.5</v>
      </c>
      <c r="N21">
        <v>66.900000000000006</v>
      </c>
      <c r="O21">
        <v>7001</v>
      </c>
      <c r="P21">
        <v>7001</v>
      </c>
      <c r="Q21">
        <v>7001</v>
      </c>
      <c r="R21">
        <v>7000</v>
      </c>
      <c r="S21" t="s">
        <v>23</v>
      </c>
      <c r="T21" t="s">
        <v>24</v>
      </c>
    </row>
    <row r="22" spans="1:20" x14ac:dyDescent="0.3">
      <c r="A22" t="s">
        <v>30</v>
      </c>
      <c r="B22" t="s">
        <v>22</v>
      </c>
      <c r="C22">
        <v>7000</v>
      </c>
      <c r="D22">
        <v>1</v>
      </c>
      <c r="E22">
        <v>1</v>
      </c>
      <c r="F22">
        <v>3</v>
      </c>
      <c r="G22">
        <v>3</v>
      </c>
      <c r="H22">
        <v>10</v>
      </c>
      <c r="I22">
        <v>39.658000000000001</v>
      </c>
      <c r="J22">
        <v>14.993</v>
      </c>
      <c r="K22">
        <v>60.241</v>
      </c>
      <c r="L22">
        <v>28.135000000000002</v>
      </c>
      <c r="M22">
        <v>16.600000000000001</v>
      </c>
      <c r="N22">
        <v>66.7</v>
      </c>
      <c r="O22">
        <v>7001</v>
      </c>
      <c r="P22">
        <v>7001</v>
      </c>
      <c r="Q22">
        <v>7001</v>
      </c>
      <c r="R22">
        <v>7000</v>
      </c>
      <c r="S22" t="s">
        <v>23</v>
      </c>
      <c r="T22" t="s">
        <v>24</v>
      </c>
    </row>
    <row r="23" spans="1:20" x14ac:dyDescent="0.3">
      <c r="A23" t="s">
        <v>31</v>
      </c>
      <c r="B23" t="s">
        <v>22</v>
      </c>
      <c r="C23">
        <v>8000</v>
      </c>
      <c r="D23">
        <v>1</v>
      </c>
      <c r="E23">
        <v>1</v>
      </c>
      <c r="F23">
        <v>1</v>
      </c>
      <c r="G23">
        <v>3</v>
      </c>
      <c r="H23">
        <v>10</v>
      </c>
      <c r="I23">
        <v>31.468</v>
      </c>
      <c r="J23">
        <v>19.920000000000002</v>
      </c>
      <c r="K23">
        <v>60.606000000000002</v>
      </c>
      <c r="L23">
        <v>33.331000000000003</v>
      </c>
      <c r="M23">
        <v>16.5</v>
      </c>
      <c r="N23">
        <v>50.2</v>
      </c>
      <c r="O23">
        <v>8001</v>
      </c>
      <c r="P23">
        <v>8001</v>
      </c>
      <c r="Q23">
        <v>8001</v>
      </c>
      <c r="R23">
        <v>8000</v>
      </c>
      <c r="S23" t="s">
        <v>23</v>
      </c>
      <c r="T23" t="s">
        <v>24</v>
      </c>
    </row>
    <row r="24" spans="1:20" x14ac:dyDescent="0.3">
      <c r="A24" t="s">
        <v>31</v>
      </c>
      <c r="B24" t="s">
        <v>22</v>
      </c>
      <c r="C24">
        <v>8000</v>
      </c>
      <c r="D24">
        <v>1</v>
      </c>
      <c r="E24">
        <v>1</v>
      </c>
      <c r="F24">
        <v>2</v>
      </c>
      <c r="G24">
        <v>3</v>
      </c>
      <c r="H24">
        <v>10</v>
      </c>
      <c r="I24">
        <v>41.521999999999998</v>
      </c>
      <c r="J24">
        <v>14.993</v>
      </c>
      <c r="K24">
        <v>60.606000000000002</v>
      </c>
      <c r="L24">
        <v>27.638999999999999</v>
      </c>
      <c r="M24">
        <v>16.5</v>
      </c>
      <c r="N24">
        <v>66.7</v>
      </c>
      <c r="O24">
        <v>8001</v>
      </c>
      <c r="P24">
        <v>8001</v>
      </c>
      <c r="Q24">
        <v>8001</v>
      </c>
      <c r="R24">
        <v>8000</v>
      </c>
      <c r="S24" t="s">
        <v>23</v>
      </c>
      <c r="T24" t="s">
        <v>24</v>
      </c>
    </row>
    <row r="25" spans="1:20" x14ac:dyDescent="0.3">
      <c r="A25" t="s">
        <v>31</v>
      </c>
      <c r="B25" t="s">
        <v>22</v>
      </c>
      <c r="C25">
        <v>8000</v>
      </c>
      <c r="D25">
        <v>1</v>
      </c>
      <c r="E25">
        <v>1</v>
      </c>
      <c r="F25">
        <v>3</v>
      </c>
      <c r="G25">
        <v>3</v>
      </c>
      <c r="H25">
        <v>10</v>
      </c>
      <c r="I25">
        <v>32.470999999999997</v>
      </c>
      <c r="J25">
        <v>19.96</v>
      </c>
      <c r="K25">
        <v>60.241</v>
      </c>
      <c r="L25">
        <v>32.68</v>
      </c>
      <c r="M25">
        <v>16.600000000000001</v>
      </c>
      <c r="N25">
        <v>50.1</v>
      </c>
      <c r="O25">
        <v>8001</v>
      </c>
      <c r="P25">
        <v>8001</v>
      </c>
      <c r="Q25">
        <v>8001</v>
      </c>
      <c r="R25">
        <v>8000</v>
      </c>
      <c r="S25" t="s">
        <v>23</v>
      </c>
      <c r="T25" t="s">
        <v>24</v>
      </c>
    </row>
    <row r="26" spans="1:20" x14ac:dyDescent="0.3">
      <c r="A26" t="s">
        <v>32</v>
      </c>
      <c r="B26" t="s">
        <v>22</v>
      </c>
      <c r="C26">
        <v>9000</v>
      </c>
      <c r="D26">
        <v>1</v>
      </c>
      <c r="E26">
        <v>1</v>
      </c>
      <c r="F26">
        <v>1</v>
      </c>
      <c r="G26">
        <v>3</v>
      </c>
      <c r="H26">
        <v>10</v>
      </c>
      <c r="I26">
        <v>34.985999999999997</v>
      </c>
      <c r="J26">
        <v>14.993</v>
      </c>
      <c r="K26">
        <v>60.606000000000002</v>
      </c>
      <c r="L26">
        <v>31.597000000000001</v>
      </c>
      <c r="M26">
        <v>16.5</v>
      </c>
      <c r="N26">
        <v>66.7</v>
      </c>
      <c r="O26">
        <v>9001</v>
      </c>
      <c r="P26">
        <v>9001</v>
      </c>
      <c r="Q26">
        <v>9001</v>
      </c>
      <c r="R26">
        <v>9000</v>
      </c>
      <c r="S26" t="s">
        <v>23</v>
      </c>
      <c r="T26" t="s">
        <v>24</v>
      </c>
    </row>
    <row r="27" spans="1:20" x14ac:dyDescent="0.3">
      <c r="A27" t="s">
        <v>32</v>
      </c>
      <c r="B27" t="s">
        <v>22</v>
      </c>
      <c r="C27">
        <v>9000</v>
      </c>
      <c r="D27">
        <v>1</v>
      </c>
      <c r="E27">
        <v>1</v>
      </c>
      <c r="F27">
        <v>2</v>
      </c>
      <c r="G27">
        <v>3</v>
      </c>
      <c r="H27">
        <v>10</v>
      </c>
      <c r="I27">
        <v>36.087000000000003</v>
      </c>
      <c r="J27">
        <v>19.96</v>
      </c>
      <c r="K27">
        <v>60.606000000000002</v>
      </c>
      <c r="L27">
        <v>30.077999999999999</v>
      </c>
      <c r="M27">
        <v>16.5</v>
      </c>
      <c r="N27">
        <v>50.1</v>
      </c>
      <c r="O27">
        <v>9001</v>
      </c>
      <c r="P27">
        <v>9001</v>
      </c>
      <c r="Q27">
        <v>9001</v>
      </c>
      <c r="R27">
        <v>9000</v>
      </c>
      <c r="S27" t="s">
        <v>23</v>
      </c>
      <c r="T27" t="s">
        <v>24</v>
      </c>
    </row>
    <row r="28" spans="1:20" x14ac:dyDescent="0.3">
      <c r="A28" t="s">
        <v>32</v>
      </c>
      <c r="B28" t="s">
        <v>22</v>
      </c>
      <c r="C28">
        <v>9000</v>
      </c>
      <c r="D28">
        <v>1</v>
      </c>
      <c r="E28">
        <v>1</v>
      </c>
      <c r="F28">
        <v>3</v>
      </c>
      <c r="G28">
        <v>3</v>
      </c>
      <c r="H28">
        <v>10</v>
      </c>
      <c r="I28">
        <v>39.487000000000002</v>
      </c>
      <c r="J28">
        <v>29.850999999999999</v>
      </c>
      <c r="K28">
        <v>60.606000000000002</v>
      </c>
      <c r="L28">
        <v>28.056000000000001</v>
      </c>
      <c r="M28">
        <v>16.5</v>
      </c>
      <c r="N28">
        <v>33.5</v>
      </c>
      <c r="O28">
        <v>9001</v>
      </c>
      <c r="P28">
        <v>9001</v>
      </c>
      <c r="Q28">
        <v>9001</v>
      </c>
      <c r="R28">
        <v>9000</v>
      </c>
      <c r="S28" t="s">
        <v>23</v>
      </c>
      <c r="T28" t="s">
        <v>24</v>
      </c>
    </row>
    <row r="29" spans="1:20" x14ac:dyDescent="0.3">
      <c r="A29" t="s">
        <v>33</v>
      </c>
      <c r="B29" t="s">
        <v>22</v>
      </c>
      <c r="C29">
        <v>10000</v>
      </c>
      <c r="D29">
        <v>1</v>
      </c>
      <c r="E29">
        <v>1</v>
      </c>
      <c r="F29">
        <v>1</v>
      </c>
      <c r="G29">
        <v>3</v>
      </c>
      <c r="H29">
        <v>10</v>
      </c>
      <c r="I29">
        <v>29.099</v>
      </c>
      <c r="J29">
        <v>19.920000000000002</v>
      </c>
      <c r="K29">
        <v>30.210999999999999</v>
      </c>
      <c r="L29">
        <v>34.835999999999999</v>
      </c>
      <c r="M29">
        <v>33.1</v>
      </c>
      <c r="N29">
        <v>50.2</v>
      </c>
      <c r="O29">
        <v>10001</v>
      </c>
      <c r="P29">
        <v>10001</v>
      </c>
      <c r="Q29">
        <v>10001</v>
      </c>
      <c r="R29">
        <v>10000</v>
      </c>
      <c r="S29" t="s">
        <v>23</v>
      </c>
      <c r="T29" t="s">
        <v>24</v>
      </c>
    </row>
    <row r="30" spans="1:20" x14ac:dyDescent="0.3">
      <c r="A30" t="s">
        <v>33</v>
      </c>
      <c r="B30" t="s">
        <v>22</v>
      </c>
      <c r="C30">
        <v>10000</v>
      </c>
      <c r="D30">
        <v>1</v>
      </c>
      <c r="E30">
        <v>1</v>
      </c>
      <c r="F30">
        <v>2</v>
      </c>
      <c r="G30">
        <v>3</v>
      </c>
      <c r="H30">
        <v>10</v>
      </c>
      <c r="I30">
        <v>33.378999999999998</v>
      </c>
      <c r="J30">
        <v>12.005000000000001</v>
      </c>
      <c r="K30">
        <v>60.606000000000002</v>
      </c>
      <c r="L30">
        <v>31.797000000000001</v>
      </c>
      <c r="M30">
        <v>16.5</v>
      </c>
      <c r="N30">
        <v>83.3</v>
      </c>
      <c r="O30">
        <v>10001</v>
      </c>
      <c r="P30">
        <v>10001</v>
      </c>
      <c r="Q30">
        <v>10001</v>
      </c>
      <c r="R30">
        <v>10000</v>
      </c>
      <c r="S30" t="s">
        <v>23</v>
      </c>
      <c r="T30" t="s">
        <v>24</v>
      </c>
    </row>
    <row r="31" spans="1:20" x14ac:dyDescent="0.3">
      <c r="A31" t="s">
        <v>33</v>
      </c>
      <c r="B31" t="s">
        <v>22</v>
      </c>
      <c r="C31">
        <v>10000</v>
      </c>
      <c r="D31">
        <v>1</v>
      </c>
      <c r="E31">
        <v>1</v>
      </c>
      <c r="F31">
        <v>3</v>
      </c>
      <c r="G31">
        <v>3</v>
      </c>
      <c r="H31">
        <v>10</v>
      </c>
      <c r="I31">
        <v>32.319000000000003</v>
      </c>
      <c r="J31">
        <v>14.993</v>
      </c>
      <c r="K31">
        <v>60.241</v>
      </c>
      <c r="L31">
        <v>32.31</v>
      </c>
      <c r="M31">
        <v>16.600000000000001</v>
      </c>
      <c r="N31">
        <v>66.7</v>
      </c>
      <c r="O31">
        <v>10001</v>
      </c>
      <c r="P31">
        <v>10001</v>
      </c>
      <c r="Q31">
        <v>10001</v>
      </c>
      <c r="R31">
        <v>10000</v>
      </c>
      <c r="S31" t="s">
        <v>23</v>
      </c>
      <c r="T31" t="s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5D09-9FD7-4190-AF2E-F52FDEC9C1C1}">
  <dimension ref="A3:E14"/>
  <sheetViews>
    <sheetView workbookViewId="0">
      <selection activeCell="B23" sqref="B23"/>
    </sheetView>
  </sheetViews>
  <sheetFormatPr defaultRowHeight="14.4" x14ac:dyDescent="0.3"/>
  <cols>
    <col min="1" max="1" width="13.77734375" bestFit="1" customWidth="1"/>
    <col min="2" max="2" width="17.44140625" customWidth="1"/>
    <col min="3" max="3" width="27.109375" customWidth="1"/>
    <col min="4" max="4" width="31.6640625" customWidth="1"/>
    <col min="5" max="5" width="37.6640625" customWidth="1"/>
    <col min="6" max="6" width="34" bestFit="1" customWidth="1"/>
  </cols>
  <sheetData>
    <row r="3" spans="1:5" ht="15.6" x14ac:dyDescent="0.3">
      <c r="A3" s="4" t="s">
        <v>39</v>
      </c>
      <c r="B3" s="5" t="s">
        <v>34</v>
      </c>
      <c r="C3" s="6" t="s">
        <v>35</v>
      </c>
      <c r="D3" s="6" t="s">
        <v>36</v>
      </c>
      <c r="E3" s="5" t="s">
        <v>37</v>
      </c>
    </row>
    <row r="4" spans="1:5" x14ac:dyDescent="0.3">
      <c r="A4" s="1">
        <v>1000</v>
      </c>
      <c r="B4" s="2">
        <v>60.00533333333334</v>
      </c>
      <c r="C4" s="3">
        <v>16.666</v>
      </c>
      <c r="D4" s="3">
        <v>1001</v>
      </c>
      <c r="E4" s="2">
        <v>1000</v>
      </c>
    </row>
    <row r="5" spans="1:5" x14ac:dyDescent="0.3">
      <c r="A5" s="7">
        <v>2000</v>
      </c>
      <c r="B5" s="8">
        <v>60.005666666666663</v>
      </c>
      <c r="C5" s="9">
        <v>16.666</v>
      </c>
      <c r="D5" s="9">
        <v>2001</v>
      </c>
      <c r="E5" s="8">
        <v>2000</v>
      </c>
    </row>
    <row r="6" spans="1:5" x14ac:dyDescent="0.3">
      <c r="A6" s="1">
        <v>3000</v>
      </c>
      <c r="B6" s="2">
        <v>59.717999999999996</v>
      </c>
      <c r="C6" s="3">
        <v>16.894666666666666</v>
      </c>
      <c r="D6" s="3">
        <v>3001</v>
      </c>
      <c r="E6" s="2">
        <v>3000</v>
      </c>
    </row>
    <row r="7" spans="1:5" x14ac:dyDescent="0.3">
      <c r="A7" s="7">
        <v>4000</v>
      </c>
      <c r="B7" s="8">
        <v>60.005666666666663</v>
      </c>
      <c r="C7" s="9">
        <v>16.665333333333333</v>
      </c>
      <c r="D7" s="9">
        <v>4001</v>
      </c>
      <c r="E7" s="8">
        <v>4000</v>
      </c>
    </row>
    <row r="8" spans="1:5" x14ac:dyDescent="0.3">
      <c r="A8" s="1">
        <v>5000</v>
      </c>
      <c r="B8" s="2">
        <v>59.371000000000002</v>
      </c>
      <c r="C8" s="3">
        <v>17.024000000000001</v>
      </c>
      <c r="D8" s="3">
        <v>5001</v>
      </c>
      <c r="E8" s="2">
        <v>5000</v>
      </c>
    </row>
    <row r="9" spans="1:5" x14ac:dyDescent="0.3">
      <c r="A9" s="7">
        <v>6000</v>
      </c>
      <c r="B9" s="8">
        <v>54.250666666666667</v>
      </c>
      <c r="C9" s="9">
        <v>19.907333333333334</v>
      </c>
      <c r="D9" s="9">
        <v>6001</v>
      </c>
      <c r="E9" s="8">
        <v>6000</v>
      </c>
    </row>
    <row r="10" spans="1:5" x14ac:dyDescent="0.3">
      <c r="A10" s="1">
        <v>7000</v>
      </c>
      <c r="B10" s="2">
        <v>40.739333333333335</v>
      </c>
      <c r="C10" s="3">
        <v>27.588333333333335</v>
      </c>
      <c r="D10" s="3">
        <v>7001</v>
      </c>
      <c r="E10" s="2">
        <v>7000</v>
      </c>
    </row>
    <row r="11" spans="1:5" x14ac:dyDescent="0.3">
      <c r="A11" s="7">
        <v>8000</v>
      </c>
      <c r="B11" s="8">
        <v>35.153666666666659</v>
      </c>
      <c r="C11" s="9">
        <v>31.216666666666669</v>
      </c>
      <c r="D11" s="9">
        <v>8001</v>
      </c>
      <c r="E11" s="8">
        <v>8000</v>
      </c>
    </row>
    <row r="12" spans="1:5" x14ac:dyDescent="0.3">
      <c r="A12" s="1">
        <v>9000</v>
      </c>
      <c r="B12" s="2">
        <v>36.853333333333332</v>
      </c>
      <c r="C12" s="3">
        <v>29.91033333333333</v>
      </c>
      <c r="D12" s="3">
        <v>9001</v>
      </c>
      <c r="E12" s="2">
        <v>9000</v>
      </c>
    </row>
    <row r="13" spans="1:5" x14ac:dyDescent="0.3">
      <c r="A13" s="10">
        <v>10000</v>
      </c>
      <c r="B13" s="11">
        <v>31.599</v>
      </c>
      <c r="C13" s="12">
        <v>32.981000000000002</v>
      </c>
      <c r="D13" s="12">
        <v>10001</v>
      </c>
      <c r="E13" s="11">
        <v>10000</v>
      </c>
    </row>
    <row r="14" spans="1:5" hidden="1" x14ac:dyDescent="0.3">
      <c r="A14" s="1" t="s">
        <v>38</v>
      </c>
      <c r="B14" s="2">
        <v>49.770166666666661</v>
      </c>
      <c r="C14">
        <v>22.551966666666672</v>
      </c>
      <c r="D14">
        <v>5501</v>
      </c>
      <c r="E14">
        <v>5500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F004-F51C-409A-9107-142CE6BD5F1A}">
  <dimension ref="A1:N34"/>
  <sheetViews>
    <sheetView topLeftCell="A4" workbookViewId="0">
      <selection activeCell="S16" sqref="S16"/>
    </sheetView>
  </sheetViews>
  <sheetFormatPr defaultRowHeight="14.4" x14ac:dyDescent="0.3"/>
  <cols>
    <col min="7" max="7" width="20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11</v>
      </c>
      <c r="G1" t="s">
        <v>14</v>
      </c>
      <c r="H1" t="s">
        <v>17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3">
      <c r="A2" t="s">
        <v>48</v>
      </c>
      <c r="B2" t="s">
        <v>49</v>
      </c>
      <c r="C2">
        <v>1000</v>
      </c>
      <c r="D2">
        <v>1</v>
      </c>
      <c r="E2">
        <v>60.003999999999998</v>
      </c>
      <c r="F2">
        <v>16.666</v>
      </c>
      <c r="G2">
        <v>4</v>
      </c>
      <c r="H2">
        <v>1000</v>
      </c>
      <c r="I2">
        <v>3</v>
      </c>
      <c r="J2">
        <v>3</v>
      </c>
      <c r="K2">
        <v>334</v>
      </c>
      <c r="L2">
        <v>1000</v>
      </c>
      <c r="M2">
        <v>3</v>
      </c>
      <c r="N2">
        <v>0</v>
      </c>
    </row>
    <row r="3" spans="1:14" x14ac:dyDescent="0.3">
      <c r="A3" t="s">
        <v>48</v>
      </c>
      <c r="B3" t="s">
        <v>49</v>
      </c>
      <c r="C3">
        <v>1000</v>
      </c>
      <c r="D3">
        <v>2</v>
      </c>
      <c r="E3">
        <v>59.929000000000002</v>
      </c>
      <c r="F3">
        <v>16.75</v>
      </c>
      <c r="G3">
        <v>4</v>
      </c>
      <c r="H3">
        <v>1000</v>
      </c>
      <c r="I3">
        <v>3</v>
      </c>
      <c r="J3">
        <v>3</v>
      </c>
      <c r="K3">
        <v>334</v>
      </c>
      <c r="L3">
        <v>1000</v>
      </c>
      <c r="M3">
        <v>3</v>
      </c>
      <c r="N3">
        <v>0</v>
      </c>
    </row>
    <row r="4" spans="1:14" x14ac:dyDescent="0.3">
      <c r="A4" t="s">
        <v>48</v>
      </c>
      <c r="B4" t="s">
        <v>49</v>
      </c>
      <c r="C4">
        <v>1000</v>
      </c>
      <c r="D4">
        <v>3</v>
      </c>
      <c r="E4">
        <v>59.954999999999998</v>
      </c>
      <c r="F4">
        <v>16.693999999999999</v>
      </c>
      <c r="G4">
        <v>4</v>
      </c>
      <c r="H4">
        <v>1000</v>
      </c>
      <c r="I4">
        <v>3</v>
      </c>
      <c r="J4">
        <v>3</v>
      </c>
      <c r="K4">
        <v>334</v>
      </c>
      <c r="L4">
        <v>1000</v>
      </c>
      <c r="M4">
        <v>3</v>
      </c>
      <c r="N4">
        <v>0</v>
      </c>
    </row>
    <row r="5" spans="1:14" x14ac:dyDescent="0.3">
      <c r="A5" t="s">
        <v>50</v>
      </c>
      <c r="B5" t="s">
        <v>49</v>
      </c>
      <c r="C5">
        <v>2000</v>
      </c>
      <c r="D5">
        <v>1</v>
      </c>
      <c r="E5">
        <v>60.006</v>
      </c>
      <c r="F5">
        <v>16.666</v>
      </c>
      <c r="G5">
        <v>4</v>
      </c>
      <c r="H5">
        <v>2000</v>
      </c>
      <c r="I5">
        <v>3</v>
      </c>
      <c r="J5">
        <v>3</v>
      </c>
      <c r="K5">
        <v>667</v>
      </c>
      <c r="L5">
        <v>2000</v>
      </c>
      <c r="M5">
        <v>3</v>
      </c>
      <c r="N5">
        <v>0</v>
      </c>
    </row>
    <row r="6" spans="1:14" x14ac:dyDescent="0.3">
      <c r="A6" t="s">
        <v>50</v>
      </c>
      <c r="B6" t="s">
        <v>49</v>
      </c>
      <c r="C6">
        <v>2000</v>
      </c>
      <c r="D6">
        <v>2</v>
      </c>
      <c r="E6">
        <v>60.006</v>
      </c>
      <c r="F6">
        <v>16.666</v>
      </c>
      <c r="G6">
        <v>4</v>
      </c>
      <c r="H6">
        <v>2000</v>
      </c>
      <c r="I6">
        <v>3</v>
      </c>
      <c r="J6">
        <v>3</v>
      </c>
      <c r="K6">
        <v>667</v>
      </c>
      <c r="L6">
        <v>2000</v>
      </c>
      <c r="M6">
        <v>3</v>
      </c>
      <c r="N6">
        <v>0</v>
      </c>
    </row>
    <row r="7" spans="1:14" x14ac:dyDescent="0.3">
      <c r="A7" t="s">
        <v>50</v>
      </c>
      <c r="B7" t="s">
        <v>49</v>
      </c>
      <c r="C7">
        <v>2000</v>
      </c>
      <c r="D7">
        <v>3</v>
      </c>
      <c r="E7">
        <v>60.008000000000003</v>
      </c>
      <c r="F7">
        <v>16.664999999999999</v>
      </c>
      <c r="G7">
        <v>4</v>
      </c>
      <c r="H7">
        <v>2000</v>
      </c>
      <c r="I7">
        <v>3</v>
      </c>
      <c r="J7">
        <v>3</v>
      </c>
      <c r="K7">
        <v>667</v>
      </c>
      <c r="L7">
        <v>2000</v>
      </c>
      <c r="M7">
        <v>3</v>
      </c>
      <c r="N7">
        <v>0</v>
      </c>
    </row>
    <row r="8" spans="1:14" x14ac:dyDescent="0.3">
      <c r="A8" t="s">
        <v>51</v>
      </c>
      <c r="B8" t="s">
        <v>49</v>
      </c>
      <c r="C8">
        <v>3000</v>
      </c>
      <c r="D8">
        <v>1</v>
      </c>
      <c r="E8">
        <v>60.006</v>
      </c>
      <c r="F8">
        <v>16.666</v>
      </c>
      <c r="G8">
        <v>4</v>
      </c>
      <c r="H8">
        <v>3000</v>
      </c>
      <c r="I8">
        <v>3</v>
      </c>
      <c r="J8">
        <v>3</v>
      </c>
      <c r="K8">
        <v>1000</v>
      </c>
      <c r="L8">
        <v>3000</v>
      </c>
      <c r="M8">
        <v>3</v>
      </c>
      <c r="N8">
        <v>0</v>
      </c>
    </row>
    <row r="9" spans="1:14" x14ac:dyDescent="0.3">
      <c r="A9" t="s">
        <v>51</v>
      </c>
      <c r="B9" t="s">
        <v>49</v>
      </c>
      <c r="C9">
        <v>3000</v>
      </c>
      <c r="D9">
        <v>2</v>
      </c>
      <c r="E9">
        <v>60.006999999999998</v>
      </c>
      <c r="F9">
        <v>16.666</v>
      </c>
      <c r="G9">
        <v>4</v>
      </c>
      <c r="H9">
        <v>3000</v>
      </c>
      <c r="I9">
        <v>3</v>
      </c>
      <c r="J9">
        <v>3</v>
      </c>
      <c r="K9">
        <v>1000</v>
      </c>
      <c r="L9">
        <v>3000</v>
      </c>
      <c r="M9">
        <v>3</v>
      </c>
      <c r="N9">
        <v>0</v>
      </c>
    </row>
    <row r="10" spans="1:14" x14ac:dyDescent="0.3">
      <c r="A10" t="s">
        <v>51</v>
      </c>
      <c r="B10" t="s">
        <v>49</v>
      </c>
      <c r="C10">
        <v>3000</v>
      </c>
      <c r="D10">
        <v>3</v>
      </c>
      <c r="E10">
        <v>60.006</v>
      </c>
      <c r="F10">
        <v>16.666</v>
      </c>
      <c r="G10">
        <v>4</v>
      </c>
      <c r="H10">
        <v>3000</v>
      </c>
      <c r="I10">
        <v>3</v>
      </c>
      <c r="J10">
        <v>3</v>
      </c>
      <c r="K10">
        <v>1000</v>
      </c>
      <c r="L10">
        <v>3000</v>
      </c>
      <c r="M10">
        <v>3</v>
      </c>
      <c r="N10">
        <v>0</v>
      </c>
    </row>
    <row r="11" spans="1:14" x14ac:dyDescent="0.3">
      <c r="A11" t="s">
        <v>52</v>
      </c>
      <c r="B11" t="s">
        <v>49</v>
      </c>
      <c r="C11">
        <v>4000</v>
      </c>
      <c r="D11">
        <v>1</v>
      </c>
      <c r="E11">
        <v>59.957000000000001</v>
      </c>
      <c r="F11">
        <v>16.693000000000001</v>
      </c>
      <c r="G11">
        <v>4</v>
      </c>
      <c r="H11">
        <v>4000</v>
      </c>
      <c r="I11">
        <v>3</v>
      </c>
      <c r="J11">
        <v>3</v>
      </c>
      <c r="K11">
        <v>1334</v>
      </c>
      <c r="L11">
        <v>4000</v>
      </c>
      <c r="M11">
        <v>3</v>
      </c>
      <c r="N11">
        <v>0</v>
      </c>
    </row>
    <row r="12" spans="1:14" x14ac:dyDescent="0.3">
      <c r="A12" t="s">
        <v>52</v>
      </c>
      <c r="B12" t="s">
        <v>49</v>
      </c>
      <c r="C12">
        <v>4000</v>
      </c>
      <c r="D12">
        <v>2</v>
      </c>
      <c r="E12">
        <v>59.957000000000001</v>
      </c>
      <c r="F12">
        <v>16.693000000000001</v>
      </c>
      <c r="G12">
        <v>4</v>
      </c>
      <c r="H12">
        <v>4000</v>
      </c>
      <c r="I12">
        <v>3</v>
      </c>
      <c r="J12">
        <v>3</v>
      </c>
      <c r="K12">
        <v>1334</v>
      </c>
      <c r="L12">
        <v>4000</v>
      </c>
      <c r="M12">
        <v>3</v>
      </c>
      <c r="N12">
        <v>0</v>
      </c>
    </row>
    <row r="13" spans="1:14" x14ac:dyDescent="0.3">
      <c r="A13" t="s">
        <v>52</v>
      </c>
      <c r="B13" t="s">
        <v>49</v>
      </c>
      <c r="C13">
        <v>4000</v>
      </c>
      <c r="D13">
        <v>3</v>
      </c>
      <c r="E13">
        <v>60.005000000000003</v>
      </c>
      <c r="F13">
        <v>16.666</v>
      </c>
      <c r="G13">
        <v>4</v>
      </c>
      <c r="H13">
        <v>4000</v>
      </c>
      <c r="I13">
        <v>3</v>
      </c>
      <c r="J13">
        <v>3</v>
      </c>
      <c r="K13">
        <v>1334</v>
      </c>
      <c r="L13">
        <v>4000</v>
      </c>
      <c r="M13">
        <v>3</v>
      </c>
      <c r="N13">
        <v>0</v>
      </c>
    </row>
    <row r="14" spans="1:14" x14ac:dyDescent="0.3">
      <c r="A14" t="s">
        <v>53</v>
      </c>
      <c r="B14" t="s">
        <v>49</v>
      </c>
      <c r="C14">
        <v>5000</v>
      </c>
      <c r="D14">
        <v>1</v>
      </c>
      <c r="E14">
        <v>60.003999999999998</v>
      </c>
      <c r="F14">
        <v>16.666</v>
      </c>
      <c r="G14">
        <v>4</v>
      </c>
      <c r="H14">
        <v>5000</v>
      </c>
      <c r="I14">
        <v>3</v>
      </c>
      <c r="J14">
        <v>3</v>
      </c>
      <c r="K14">
        <v>1667</v>
      </c>
      <c r="L14">
        <v>5000</v>
      </c>
      <c r="M14">
        <v>3</v>
      </c>
      <c r="N14">
        <v>0</v>
      </c>
    </row>
    <row r="15" spans="1:14" x14ac:dyDescent="0.3">
      <c r="A15" t="s">
        <v>53</v>
      </c>
      <c r="B15" t="s">
        <v>49</v>
      </c>
      <c r="C15">
        <v>5000</v>
      </c>
      <c r="D15">
        <v>2</v>
      </c>
      <c r="E15">
        <v>59.956000000000003</v>
      </c>
      <c r="F15">
        <v>16.693999999999999</v>
      </c>
      <c r="G15">
        <v>4</v>
      </c>
      <c r="H15">
        <v>5000</v>
      </c>
      <c r="I15">
        <v>3</v>
      </c>
      <c r="J15">
        <v>3</v>
      </c>
      <c r="K15">
        <v>1667</v>
      </c>
      <c r="L15">
        <v>5000</v>
      </c>
      <c r="M15">
        <v>3</v>
      </c>
      <c r="N15">
        <v>0</v>
      </c>
    </row>
    <row r="16" spans="1:14" x14ac:dyDescent="0.3">
      <c r="A16" t="s">
        <v>53</v>
      </c>
      <c r="B16" t="s">
        <v>49</v>
      </c>
      <c r="C16">
        <v>5000</v>
      </c>
      <c r="D16">
        <v>3</v>
      </c>
      <c r="E16">
        <v>60.006</v>
      </c>
      <c r="F16">
        <v>16.666</v>
      </c>
      <c r="G16">
        <v>4</v>
      </c>
      <c r="H16">
        <v>5000</v>
      </c>
      <c r="I16">
        <v>3</v>
      </c>
      <c r="J16">
        <v>3</v>
      </c>
      <c r="K16">
        <v>1667</v>
      </c>
      <c r="L16">
        <v>5000</v>
      </c>
      <c r="M16">
        <v>3</v>
      </c>
      <c r="N16">
        <v>0</v>
      </c>
    </row>
    <row r="17" spans="1:14" x14ac:dyDescent="0.3">
      <c r="A17" t="s">
        <v>54</v>
      </c>
      <c r="B17" t="s">
        <v>49</v>
      </c>
      <c r="C17">
        <v>6000</v>
      </c>
      <c r="D17">
        <v>1</v>
      </c>
      <c r="E17">
        <v>59.954999999999998</v>
      </c>
      <c r="F17">
        <v>16.693999999999999</v>
      </c>
      <c r="G17">
        <v>4</v>
      </c>
      <c r="H17">
        <v>6000</v>
      </c>
      <c r="I17">
        <v>3</v>
      </c>
      <c r="J17">
        <v>3</v>
      </c>
      <c r="K17">
        <v>2000</v>
      </c>
      <c r="L17">
        <v>6000</v>
      </c>
      <c r="M17">
        <v>3</v>
      </c>
      <c r="N17">
        <v>0</v>
      </c>
    </row>
    <row r="18" spans="1:14" x14ac:dyDescent="0.3">
      <c r="A18" t="s">
        <v>54</v>
      </c>
      <c r="B18" t="s">
        <v>49</v>
      </c>
      <c r="C18">
        <v>6000</v>
      </c>
      <c r="D18">
        <v>2</v>
      </c>
      <c r="E18">
        <v>60.006999999999998</v>
      </c>
      <c r="F18">
        <v>16.666</v>
      </c>
      <c r="G18">
        <v>4</v>
      </c>
      <c r="H18">
        <v>6000</v>
      </c>
      <c r="I18">
        <v>3</v>
      </c>
      <c r="J18">
        <v>3</v>
      </c>
      <c r="K18">
        <v>2000</v>
      </c>
      <c r="L18">
        <v>6000</v>
      </c>
      <c r="M18">
        <v>3</v>
      </c>
      <c r="N18">
        <v>0</v>
      </c>
    </row>
    <row r="19" spans="1:14" x14ac:dyDescent="0.3">
      <c r="A19" t="s">
        <v>54</v>
      </c>
      <c r="B19" t="s">
        <v>49</v>
      </c>
      <c r="C19">
        <v>6000</v>
      </c>
      <c r="D19">
        <v>3</v>
      </c>
      <c r="E19">
        <v>60.006</v>
      </c>
      <c r="F19">
        <v>16.666</v>
      </c>
      <c r="G19">
        <v>4</v>
      </c>
      <c r="H19">
        <v>6000</v>
      </c>
      <c r="I19">
        <v>3</v>
      </c>
      <c r="J19">
        <v>3</v>
      </c>
      <c r="K19">
        <v>2000</v>
      </c>
      <c r="L19">
        <v>6000</v>
      </c>
      <c r="M19">
        <v>3</v>
      </c>
      <c r="N19">
        <v>0</v>
      </c>
    </row>
    <row r="20" spans="1:14" x14ac:dyDescent="0.3">
      <c r="A20" t="s">
        <v>55</v>
      </c>
      <c r="B20" t="s">
        <v>49</v>
      </c>
      <c r="C20">
        <v>7000</v>
      </c>
      <c r="D20">
        <v>1</v>
      </c>
      <c r="E20">
        <v>60.005000000000003</v>
      </c>
      <c r="F20">
        <v>16.666</v>
      </c>
      <c r="G20">
        <v>4</v>
      </c>
      <c r="H20">
        <v>7000</v>
      </c>
      <c r="I20">
        <v>3</v>
      </c>
      <c r="J20">
        <v>3</v>
      </c>
      <c r="K20">
        <v>2334</v>
      </c>
      <c r="L20">
        <v>7000</v>
      </c>
      <c r="M20">
        <v>3</v>
      </c>
      <c r="N20">
        <v>0</v>
      </c>
    </row>
    <row r="21" spans="1:14" x14ac:dyDescent="0.3">
      <c r="A21" t="s">
        <v>55</v>
      </c>
      <c r="B21" t="s">
        <v>49</v>
      </c>
      <c r="C21">
        <v>7000</v>
      </c>
      <c r="D21">
        <v>2</v>
      </c>
      <c r="E21">
        <v>59.905000000000001</v>
      </c>
      <c r="F21">
        <v>16.721</v>
      </c>
      <c r="G21">
        <v>4</v>
      </c>
      <c r="H21">
        <v>7000</v>
      </c>
      <c r="I21">
        <v>3</v>
      </c>
      <c r="J21">
        <v>3</v>
      </c>
      <c r="K21">
        <v>2334</v>
      </c>
      <c r="L21">
        <v>7000</v>
      </c>
      <c r="M21">
        <v>3</v>
      </c>
      <c r="N21">
        <v>0</v>
      </c>
    </row>
    <row r="22" spans="1:14" x14ac:dyDescent="0.3">
      <c r="A22" t="s">
        <v>55</v>
      </c>
      <c r="B22" t="s">
        <v>49</v>
      </c>
      <c r="C22">
        <v>7000</v>
      </c>
      <c r="D22">
        <v>3</v>
      </c>
      <c r="E22">
        <v>60.006999999999998</v>
      </c>
      <c r="F22">
        <v>16.664999999999999</v>
      </c>
      <c r="G22">
        <v>4</v>
      </c>
      <c r="H22">
        <v>7000</v>
      </c>
      <c r="I22">
        <v>3</v>
      </c>
      <c r="J22">
        <v>3</v>
      </c>
      <c r="K22">
        <v>2334</v>
      </c>
      <c r="L22">
        <v>7000</v>
      </c>
      <c r="M22">
        <v>3</v>
      </c>
      <c r="N22">
        <v>0</v>
      </c>
    </row>
    <row r="23" spans="1:14" x14ac:dyDescent="0.3">
      <c r="A23" t="s">
        <v>56</v>
      </c>
      <c r="B23" t="s">
        <v>49</v>
      </c>
      <c r="C23">
        <v>8000</v>
      </c>
      <c r="D23">
        <v>1</v>
      </c>
      <c r="E23">
        <v>60.006999999999998</v>
      </c>
      <c r="F23">
        <v>16.664999999999999</v>
      </c>
      <c r="G23">
        <v>4</v>
      </c>
      <c r="H23">
        <v>8000</v>
      </c>
      <c r="I23">
        <v>3</v>
      </c>
      <c r="J23">
        <v>3</v>
      </c>
      <c r="K23">
        <v>2667</v>
      </c>
      <c r="L23">
        <v>8000</v>
      </c>
      <c r="M23">
        <v>3</v>
      </c>
      <c r="N23">
        <v>0</v>
      </c>
    </row>
    <row r="24" spans="1:14" x14ac:dyDescent="0.3">
      <c r="A24" t="s">
        <v>56</v>
      </c>
      <c r="B24" t="s">
        <v>49</v>
      </c>
      <c r="C24">
        <v>8000</v>
      </c>
      <c r="D24">
        <v>2</v>
      </c>
      <c r="E24">
        <v>60.006999999999998</v>
      </c>
      <c r="F24">
        <v>16.664999999999999</v>
      </c>
      <c r="G24">
        <v>4</v>
      </c>
      <c r="H24">
        <v>8000</v>
      </c>
      <c r="I24">
        <v>3</v>
      </c>
      <c r="J24">
        <v>3</v>
      </c>
      <c r="K24">
        <v>2667</v>
      </c>
      <c r="L24">
        <v>8000</v>
      </c>
      <c r="M24">
        <v>3</v>
      </c>
      <c r="N24">
        <v>0</v>
      </c>
    </row>
    <row r="25" spans="1:14" x14ac:dyDescent="0.3">
      <c r="A25" t="s">
        <v>56</v>
      </c>
      <c r="B25" t="s">
        <v>49</v>
      </c>
      <c r="C25">
        <v>8000</v>
      </c>
      <c r="D25">
        <v>3</v>
      </c>
      <c r="E25">
        <v>59.939</v>
      </c>
      <c r="F25">
        <v>16.721</v>
      </c>
      <c r="G25">
        <v>4</v>
      </c>
      <c r="H25">
        <v>8000</v>
      </c>
      <c r="I25">
        <v>3</v>
      </c>
      <c r="J25">
        <v>3</v>
      </c>
      <c r="K25">
        <v>2667</v>
      </c>
      <c r="L25">
        <v>8000</v>
      </c>
      <c r="M25">
        <v>3</v>
      </c>
      <c r="N25">
        <v>0</v>
      </c>
    </row>
    <row r="26" spans="1:14" x14ac:dyDescent="0.3">
      <c r="A26" t="s">
        <v>57</v>
      </c>
      <c r="B26" t="s">
        <v>49</v>
      </c>
      <c r="C26">
        <v>9000</v>
      </c>
      <c r="D26">
        <v>1</v>
      </c>
      <c r="E26">
        <v>60.006</v>
      </c>
      <c r="F26">
        <v>16.666</v>
      </c>
      <c r="G26">
        <v>4</v>
      </c>
      <c r="H26">
        <v>9000</v>
      </c>
      <c r="I26">
        <v>3</v>
      </c>
      <c r="J26">
        <v>3</v>
      </c>
      <c r="K26">
        <v>3000</v>
      </c>
      <c r="L26">
        <v>9000</v>
      </c>
      <c r="M26">
        <v>3</v>
      </c>
      <c r="N26">
        <v>0</v>
      </c>
    </row>
    <row r="27" spans="1:14" x14ac:dyDescent="0.3">
      <c r="A27" t="s">
        <v>57</v>
      </c>
      <c r="B27" t="s">
        <v>49</v>
      </c>
      <c r="C27">
        <v>9000</v>
      </c>
      <c r="D27">
        <v>2</v>
      </c>
      <c r="E27">
        <v>59.89</v>
      </c>
      <c r="F27">
        <v>16.748999999999999</v>
      </c>
      <c r="G27">
        <v>4</v>
      </c>
      <c r="H27">
        <v>9000</v>
      </c>
      <c r="I27">
        <v>3</v>
      </c>
      <c r="J27">
        <v>3</v>
      </c>
      <c r="K27">
        <v>3000</v>
      </c>
      <c r="L27">
        <v>9000</v>
      </c>
      <c r="M27">
        <v>3</v>
      </c>
      <c r="N27">
        <v>0</v>
      </c>
    </row>
    <row r="28" spans="1:14" x14ac:dyDescent="0.3">
      <c r="A28" t="s">
        <v>57</v>
      </c>
      <c r="B28" t="s">
        <v>49</v>
      </c>
      <c r="C28">
        <v>9000</v>
      </c>
      <c r="D28">
        <v>3</v>
      </c>
      <c r="E28">
        <v>60.006999999999998</v>
      </c>
      <c r="F28">
        <v>16.664999999999999</v>
      </c>
      <c r="G28">
        <v>4</v>
      </c>
      <c r="H28">
        <v>9000</v>
      </c>
      <c r="I28">
        <v>3</v>
      </c>
      <c r="J28">
        <v>3</v>
      </c>
      <c r="K28">
        <v>3000</v>
      </c>
      <c r="L28">
        <v>9000</v>
      </c>
      <c r="M28">
        <v>3</v>
      </c>
      <c r="N28">
        <v>0</v>
      </c>
    </row>
    <row r="29" spans="1:14" x14ac:dyDescent="0.3">
      <c r="A29" t="s">
        <v>58</v>
      </c>
      <c r="B29" t="s">
        <v>49</v>
      </c>
      <c r="C29">
        <v>10000</v>
      </c>
      <c r="D29">
        <v>1</v>
      </c>
      <c r="E29">
        <v>59.646000000000001</v>
      </c>
      <c r="F29">
        <v>17.151</v>
      </c>
      <c r="G29">
        <v>4</v>
      </c>
      <c r="H29">
        <v>10000</v>
      </c>
      <c r="I29">
        <v>3</v>
      </c>
      <c r="J29">
        <v>3</v>
      </c>
      <c r="K29">
        <v>3334</v>
      </c>
      <c r="L29">
        <v>10000</v>
      </c>
      <c r="M29">
        <v>3</v>
      </c>
      <c r="N29">
        <v>0</v>
      </c>
    </row>
    <row r="30" spans="1:14" x14ac:dyDescent="0.3">
      <c r="A30" t="s">
        <v>58</v>
      </c>
      <c r="B30" t="s">
        <v>49</v>
      </c>
      <c r="C30">
        <v>10000</v>
      </c>
      <c r="D30">
        <v>2</v>
      </c>
      <c r="E30">
        <v>60.006</v>
      </c>
      <c r="F30">
        <v>16.666</v>
      </c>
      <c r="G30">
        <v>4</v>
      </c>
      <c r="H30">
        <v>10000</v>
      </c>
      <c r="I30">
        <v>3</v>
      </c>
      <c r="J30">
        <v>3</v>
      </c>
      <c r="K30">
        <v>3334</v>
      </c>
      <c r="L30">
        <v>10000</v>
      </c>
      <c r="M30">
        <v>3</v>
      </c>
      <c r="N30">
        <v>0</v>
      </c>
    </row>
    <row r="31" spans="1:14" x14ac:dyDescent="0.3">
      <c r="A31" t="s">
        <v>58</v>
      </c>
      <c r="B31" t="s">
        <v>49</v>
      </c>
      <c r="C31">
        <v>10000</v>
      </c>
      <c r="D31">
        <v>3</v>
      </c>
      <c r="E31">
        <v>59.957000000000001</v>
      </c>
      <c r="F31">
        <v>16.693000000000001</v>
      </c>
      <c r="G31">
        <v>4</v>
      </c>
      <c r="H31">
        <v>10000</v>
      </c>
      <c r="I31">
        <v>3</v>
      </c>
      <c r="J31">
        <v>3</v>
      </c>
      <c r="K31">
        <v>3334</v>
      </c>
      <c r="L31">
        <v>10000</v>
      </c>
      <c r="M31">
        <v>3</v>
      </c>
      <c r="N31">
        <v>0</v>
      </c>
    </row>
    <row r="32" spans="1:14" x14ac:dyDescent="0.3">
      <c r="A32" t="s">
        <v>59</v>
      </c>
      <c r="B32" t="s">
        <v>49</v>
      </c>
      <c r="C32">
        <v>15000</v>
      </c>
      <c r="D32">
        <v>1</v>
      </c>
      <c r="E32">
        <v>60.006999999999998</v>
      </c>
      <c r="F32">
        <v>16.666</v>
      </c>
      <c r="G32">
        <v>4</v>
      </c>
      <c r="H32">
        <v>15000</v>
      </c>
      <c r="I32">
        <v>3</v>
      </c>
      <c r="J32">
        <v>3</v>
      </c>
      <c r="K32">
        <v>5000</v>
      </c>
      <c r="L32">
        <v>15000</v>
      </c>
      <c r="M32">
        <v>3</v>
      </c>
      <c r="N32">
        <v>0</v>
      </c>
    </row>
    <row r="33" spans="1:14" x14ac:dyDescent="0.3">
      <c r="A33" t="s">
        <v>59</v>
      </c>
      <c r="B33" t="s">
        <v>49</v>
      </c>
      <c r="C33">
        <v>15000</v>
      </c>
      <c r="D33">
        <v>2</v>
      </c>
      <c r="E33">
        <v>60.006</v>
      </c>
      <c r="F33">
        <v>16.666</v>
      </c>
      <c r="G33">
        <v>4</v>
      </c>
      <c r="H33">
        <v>15000</v>
      </c>
      <c r="I33">
        <v>3</v>
      </c>
      <c r="J33">
        <v>3</v>
      </c>
      <c r="K33">
        <v>5000</v>
      </c>
      <c r="L33">
        <v>15000</v>
      </c>
      <c r="M33">
        <v>3</v>
      </c>
      <c r="N33">
        <v>0</v>
      </c>
    </row>
    <row r="34" spans="1:14" x14ac:dyDescent="0.3">
      <c r="A34" t="s">
        <v>59</v>
      </c>
      <c r="B34" t="s">
        <v>49</v>
      </c>
      <c r="C34">
        <v>15000</v>
      </c>
      <c r="D34">
        <v>3</v>
      </c>
      <c r="E34">
        <v>60.006</v>
      </c>
      <c r="F34">
        <v>16.666</v>
      </c>
      <c r="G34">
        <v>4</v>
      </c>
      <c r="H34">
        <v>15000</v>
      </c>
      <c r="I34">
        <v>3</v>
      </c>
      <c r="J34">
        <v>3</v>
      </c>
      <c r="K34">
        <v>5000</v>
      </c>
      <c r="L34">
        <v>15000</v>
      </c>
      <c r="M34">
        <v>3</v>
      </c>
      <c r="N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1829-3B2B-4B89-9295-25B33107B064}">
  <dimension ref="A1:C11"/>
  <sheetViews>
    <sheetView tabSelected="1" workbookViewId="0">
      <selection activeCell="E22" sqref="E22"/>
    </sheetView>
  </sheetViews>
  <sheetFormatPr defaultRowHeight="14.4" x14ac:dyDescent="0.3"/>
  <cols>
    <col min="1" max="1" width="11.109375" bestFit="1" customWidth="1"/>
    <col min="2" max="2" width="16.88671875" bestFit="1" customWidth="1"/>
    <col min="3" max="3" width="17" bestFit="1" customWidth="1"/>
  </cols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>
        <v>1000</v>
      </c>
      <c r="B2">
        <f>AVERAGEIF(baseline_results_cube!C:C,A2,baseline_results_cube!O:O)</f>
        <v>1001</v>
      </c>
      <c r="C2">
        <f>AVERAGEIF(batching_results_cube!C:C,A2,batching_results_cube!G:G)</f>
        <v>4</v>
      </c>
    </row>
    <row r="3" spans="1:3" x14ac:dyDescent="0.3">
      <c r="A3">
        <v>2000</v>
      </c>
      <c r="B3">
        <f>AVERAGEIF(baseline_results_cube!C:C,A3,baseline_results_cube!O:O)</f>
        <v>2001</v>
      </c>
      <c r="C3">
        <f>AVERAGEIF(batching_results_cube!C:C,A3,batching_results_cube!G:G)</f>
        <v>4</v>
      </c>
    </row>
    <row r="4" spans="1:3" x14ac:dyDescent="0.3">
      <c r="A4">
        <v>3000</v>
      </c>
      <c r="B4">
        <f>AVERAGEIF(baseline_results_cube!C:C,A4,baseline_results_cube!O:O)</f>
        <v>3001</v>
      </c>
      <c r="C4">
        <f>AVERAGEIF(batching_results_cube!C:C,A4,batching_results_cube!G:G)</f>
        <v>4</v>
      </c>
    </row>
    <row r="5" spans="1:3" x14ac:dyDescent="0.3">
      <c r="A5">
        <v>4000</v>
      </c>
      <c r="B5">
        <f>AVERAGEIF(baseline_results_cube!C:C,A5,baseline_results_cube!O:O)</f>
        <v>4001</v>
      </c>
      <c r="C5">
        <f>AVERAGEIF(batching_results_cube!C:C,A5,batching_results_cube!G:G)</f>
        <v>4</v>
      </c>
    </row>
    <row r="6" spans="1:3" x14ac:dyDescent="0.3">
      <c r="A6">
        <v>5000</v>
      </c>
      <c r="B6">
        <f>AVERAGEIF(baseline_results_cube!C:C,A6,baseline_results_cube!O:O)</f>
        <v>5001</v>
      </c>
      <c r="C6">
        <f>AVERAGEIF(batching_results_cube!C:C,A6,batching_results_cube!G:G)</f>
        <v>4</v>
      </c>
    </row>
    <row r="7" spans="1:3" x14ac:dyDescent="0.3">
      <c r="A7">
        <v>6000</v>
      </c>
      <c r="B7">
        <f>AVERAGEIF(baseline_results_cube!C:C,A7,baseline_results_cube!O:O)</f>
        <v>6001</v>
      </c>
      <c r="C7">
        <f>AVERAGEIF(batching_results_cube!C:C,A7,batching_results_cube!G:G)</f>
        <v>4</v>
      </c>
    </row>
    <row r="8" spans="1:3" x14ac:dyDescent="0.3">
      <c r="A8">
        <v>7000</v>
      </c>
      <c r="B8">
        <f>AVERAGEIF(baseline_results_cube!C:C,A8,baseline_results_cube!O:O)</f>
        <v>7001</v>
      </c>
      <c r="C8">
        <f>AVERAGEIF(batching_results_cube!C:C,A8,batching_results_cube!G:G)</f>
        <v>4</v>
      </c>
    </row>
    <row r="9" spans="1:3" x14ac:dyDescent="0.3">
      <c r="A9">
        <v>8000</v>
      </c>
      <c r="B9">
        <f>AVERAGEIF(baseline_results_cube!C:C,A9,baseline_results_cube!O:O)</f>
        <v>8001</v>
      </c>
      <c r="C9">
        <f>AVERAGEIF(batching_results_cube!C:C,A9,batching_results_cube!G:G)</f>
        <v>4</v>
      </c>
    </row>
    <row r="10" spans="1:3" x14ac:dyDescent="0.3">
      <c r="A10">
        <v>9000</v>
      </c>
      <c r="B10">
        <f>AVERAGEIF(baseline_results_cube!C:C,A10,baseline_results_cube!O:O)</f>
        <v>9001</v>
      </c>
      <c r="C10">
        <f>AVERAGEIF(batching_results_cube!C:C,A10,batching_results_cube!G:G)</f>
        <v>4</v>
      </c>
    </row>
    <row r="11" spans="1:3" x14ac:dyDescent="0.3">
      <c r="A11">
        <v>10000</v>
      </c>
      <c r="B11">
        <f>AVERAGEIF(baseline_results_cube!C:C,A11,baseline_results_cube!O:O)</f>
        <v>10001</v>
      </c>
      <c r="C11">
        <f>AVERAGEIF(batching_results_cube!C:C,A11,batching_results_cube!G:G)</f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B8DE-6833-4625-93D7-C62DDB654600}">
  <dimension ref="A1:D11"/>
  <sheetViews>
    <sheetView workbookViewId="0">
      <selection activeCell="J24" sqref="J24"/>
    </sheetView>
  </sheetViews>
  <sheetFormatPr defaultRowHeight="14.4" x14ac:dyDescent="0.3"/>
  <cols>
    <col min="3" max="3" width="19.109375" customWidth="1"/>
    <col min="4" max="4" width="22.77734375" customWidth="1"/>
  </cols>
  <sheetData>
    <row r="1" spans="1:4" x14ac:dyDescent="0.3">
      <c r="A1" t="s">
        <v>39</v>
      </c>
      <c r="B1" t="s">
        <v>40</v>
      </c>
      <c r="C1" t="s">
        <v>41</v>
      </c>
      <c r="D1" t="s">
        <v>72</v>
      </c>
    </row>
    <row r="2" spans="1:4" x14ac:dyDescent="0.3">
      <c r="A2">
        <v>1000</v>
      </c>
      <c r="B2">
        <f>AVERAGEIF(baseline_results_cube!C:C,A2,baseline_results_cube!O:O)</f>
        <v>1001</v>
      </c>
      <c r="C2">
        <f>AVERAGEIF(batching_results_cube!C:C,A2,batching_results_cube!G:G)</f>
        <v>4</v>
      </c>
      <c r="D2">
        <v>7</v>
      </c>
    </row>
    <row r="3" spans="1:4" x14ac:dyDescent="0.3">
      <c r="A3">
        <v>2000</v>
      </c>
      <c r="B3">
        <f>AVERAGEIF(baseline_results_cube!C:C,A3,baseline_results_cube!O:O)</f>
        <v>2001</v>
      </c>
      <c r="C3">
        <f>AVERAGEIF(batching_results_cube!C:C,A3,batching_results_cube!G:G)</f>
        <v>4</v>
      </c>
      <c r="D3">
        <v>7</v>
      </c>
    </row>
    <row r="4" spans="1:4" x14ac:dyDescent="0.3">
      <c r="A4">
        <v>3000</v>
      </c>
      <c r="B4">
        <f>AVERAGEIF(baseline_results_cube!C:C,A4,baseline_results_cube!O:O)</f>
        <v>3001</v>
      </c>
      <c r="C4">
        <f>AVERAGEIF(batching_results_cube!C:C,A4,batching_results_cube!G:G)</f>
        <v>4</v>
      </c>
      <c r="D4">
        <v>7</v>
      </c>
    </row>
    <row r="5" spans="1:4" x14ac:dyDescent="0.3">
      <c r="A5">
        <v>4000</v>
      </c>
      <c r="B5">
        <f>AVERAGEIF(baseline_results_cube!C:C,A5,baseline_results_cube!O:O)</f>
        <v>4001</v>
      </c>
      <c r="C5">
        <f>AVERAGEIF(batching_results_cube!C:C,A5,batching_results_cube!G:G)</f>
        <v>4</v>
      </c>
      <c r="D5">
        <v>7</v>
      </c>
    </row>
    <row r="6" spans="1:4" x14ac:dyDescent="0.3">
      <c r="A6">
        <v>5000</v>
      </c>
      <c r="B6">
        <f>AVERAGEIF(baseline_results_cube!C:C,A6,baseline_results_cube!O:O)</f>
        <v>5001</v>
      </c>
      <c r="C6">
        <f>AVERAGEIF(batching_results_cube!C:C,A6,batching_results_cube!G:G)</f>
        <v>4</v>
      </c>
      <c r="D6">
        <v>7</v>
      </c>
    </row>
    <row r="7" spans="1:4" x14ac:dyDescent="0.3">
      <c r="A7">
        <v>6000</v>
      </c>
      <c r="B7">
        <f>AVERAGEIF(baseline_results_cube!C:C,A7,baseline_results_cube!O:O)</f>
        <v>6001</v>
      </c>
      <c r="C7">
        <f>AVERAGEIF(batching_results_cube!C:C,A7,batching_results_cube!G:G)</f>
        <v>4</v>
      </c>
      <c r="D7">
        <v>7</v>
      </c>
    </row>
    <row r="8" spans="1:4" x14ac:dyDescent="0.3">
      <c r="A8">
        <v>7000</v>
      </c>
      <c r="B8">
        <f>AVERAGEIF(baseline_results_cube!C:C,A8,baseline_results_cube!O:O)</f>
        <v>7001</v>
      </c>
      <c r="C8">
        <f>AVERAGEIF(batching_results_cube!C:C,A8,batching_results_cube!G:G)</f>
        <v>4</v>
      </c>
      <c r="D8">
        <v>7</v>
      </c>
    </row>
    <row r="9" spans="1:4" x14ac:dyDescent="0.3">
      <c r="A9">
        <v>8000</v>
      </c>
      <c r="B9">
        <f>AVERAGEIF(baseline_results_cube!C:C,A9,baseline_results_cube!O:O)</f>
        <v>8001</v>
      </c>
      <c r="C9">
        <f>AVERAGEIF(batching_results_cube!C:C,A9,batching_results_cube!G:G)</f>
        <v>4</v>
      </c>
      <c r="D9">
        <v>7</v>
      </c>
    </row>
    <row r="10" spans="1:4" x14ac:dyDescent="0.3">
      <c r="A10">
        <v>9000</v>
      </c>
      <c r="B10">
        <f>AVERAGEIF(baseline_results_cube!C:C,A10,baseline_results_cube!O:O)</f>
        <v>9001</v>
      </c>
      <c r="C10">
        <f>AVERAGEIF(batching_results_cube!C:C,A10,batching_results_cube!G:G)</f>
        <v>4</v>
      </c>
      <c r="D10">
        <v>7</v>
      </c>
    </row>
    <row r="11" spans="1:4" x14ac:dyDescent="0.3">
      <c r="A11">
        <v>10000</v>
      </c>
      <c r="B11">
        <f>AVERAGEIF(baseline_results_cube!C:C,A11,baseline_results_cube!O:O)</f>
        <v>10001</v>
      </c>
      <c r="C11">
        <f>AVERAGEIF(batching_results_cube!C:C,A11,batching_results_cube!G:G)</f>
        <v>4</v>
      </c>
      <c r="D11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4197-8E60-4DB7-B2AE-F5844BA56F24}">
  <dimension ref="A1:N31"/>
  <sheetViews>
    <sheetView workbookViewId="0">
      <selection activeCell="Q22" sqref="Q2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11</v>
      </c>
      <c r="G1" t="s">
        <v>14</v>
      </c>
      <c r="H1" t="s">
        <v>17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3">
      <c r="A2" t="s">
        <v>60</v>
      </c>
      <c r="B2" t="s">
        <v>61</v>
      </c>
      <c r="C2">
        <v>1000</v>
      </c>
      <c r="D2">
        <v>1</v>
      </c>
      <c r="E2">
        <v>60.003999999999998</v>
      </c>
      <c r="F2">
        <v>16.666</v>
      </c>
      <c r="G2">
        <v>7</v>
      </c>
      <c r="H2">
        <v>3</v>
      </c>
      <c r="I2">
        <v>3</v>
      </c>
      <c r="J2">
        <v>3</v>
      </c>
      <c r="K2">
        <v>334</v>
      </c>
      <c r="L2">
        <v>1000</v>
      </c>
      <c r="M2">
        <v>3</v>
      </c>
      <c r="N2">
        <v>0</v>
      </c>
    </row>
    <row r="3" spans="1:14" x14ac:dyDescent="0.3">
      <c r="A3" t="s">
        <v>60</v>
      </c>
      <c r="B3" t="s">
        <v>61</v>
      </c>
      <c r="C3">
        <v>1000</v>
      </c>
      <c r="D3">
        <v>2</v>
      </c>
      <c r="E3">
        <v>60.006</v>
      </c>
      <c r="F3">
        <v>16.664999999999999</v>
      </c>
      <c r="G3">
        <v>7</v>
      </c>
      <c r="H3">
        <v>3</v>
      </c>
      <c r="I3">
        <v>3</v>
      </c>
      <c r="J3">
        <v>3</v>
      </c>
      <c r="K3">
        <v>334</v>
      </c>
      <c r="L3">
        <v>1000</v>
      </c>
      <c r="M3">
        <v>3</v>
      </c>
      <c r="N3">
        <v>0</v>
      </c>
    </row>
    <row r="4" spans="1:14" x14ac:dyDescent="0.3">
      <c r="A4" t="s">
        <v>60</v>
      </c>
      <c r="B4" t="s">
        <v>61</v>
      </c>
      <c r="C4">
        <v>1000</v>
      </c>
      <c r="D4">
        <v>3</v>
      </c>
      <c r="E4">
        <v>59.936999999999998</v>
      </c>
      <c r="F4">
        <v>16.722000000000001</v>
      </c>
      <c r="G4">
        <v>7</v>
      </c>
      <c r="H4">
        <v>3</v>
      </c>
      <c r="I4">
        <v>3</v>
      </c>
      <c r="J4">
        <v>3</v>
      </c>
      <c r="K4">
        <v>334</v>
      </c>
      <c r="L4">
        <v>1000</v>
      </c>
      <c r="M4">
        <v>3</v>
      </c>
      <c r="N4">
        <v>0</v>
      </c>
    </row>
    <row r="5" spans="1:14" x14ac:dyDescent="0.3">
      <c r="A5" t="s">
        <v>62</v>
      </c>
      <c r="B5" t="s">
        <v>61</v>
      </c>
      <c r="C5">
        <v>2000</v>
      </c>
      <c r="D5">
        <v>1</v>
      </c>
      <c r="E5">
        <v>60.005000000000003</v>
      </c>
      <c r="F5">
        <v>16.666</v>
      </c>
      <c r="G5">
        <v>7</v>
      </c>
      <c r="H5">
        <v>3</v>
      </c>
      <c r="I5">
        <v>3</v>
      </c>
      <c r="J5">
        <v>3</v>
      </c>
      <c r="K5">
        <v>667</v>
      </c>
      <c r="L5">
        <v>2000</v>
      </c>
      <c r="M5">
        <v>3</v>
      </c>
      <c r="N5">
        <v>0</v>
      </c>
    </row>
    <row r="6" spans="1:14" x14ac:dyDescent="0.3">
      <c r="A6" t="s">
        <v>62</v>
      </c>
      <c r="B6" t="s">
        <v>61</v>
      </c>
      <c r="C6">
        <v>2000</v>
      </c>
      <c r="D6">
        <v>2</v>
      </c>
      <c r="E6">
        <v>59.683</v>
      </c>
      <c r="F6">
        <v>16.861999999999998</v>
      </c>
      <c r="G6">
        <v>7</v>
      </c>
      <c r="H6">
        <v>3</v>
      </c>
      <c r="I6">
        <v>3</v>
      </c>
      <c r="J6">
        <v>3</v>
      </c>
      <c r="K6">
        <v>667</v>
      </c>
      <c r="L6">
        <v>2000</v>
      </c>
      <c r="M6">
        <v>3</v>
      </c>
      <c r="N6">
        <v>0</v>
      </c>
    </row>
    <row r="7" spans="1:14" x14ac:dyDescent="0.3">
      <c r="A7" t="s">
        <v>62</v>
      </c>
      <c r="B7" t="s">
        <v>61</v>
      </c>
      <c r="C7">
        <v>2000</v>
      </c>
      <c r="D7">
        <v>3</v>
      </c>
      <c r="E7">
        <v>60.006</v>
      </c>
      <c r="F7">
        <v>16.666</v>
      </c>
      <c r="G7">
        <v>7</v>
      </c>
      <c r="H7">
        <v>3</v>
      </c>
      <c r="I7">
        <v>3</v>
      </c>
      <c r="J7">
        <v>3</v>
      </c>
      <c r="K7">
        <v>667</v>
      </c>
      <c r="L7">
        <v>2000</v>
      </c>
      <c r="M7">
        <v>3</v>
      </c>
      <c r="N7">
        <v>0</v>
      </c>
    </row>
    <row r="8" spans="1:14" x14ac:dyDescent="0.3">
      <c r="A8" t="s">
        <v>63</v>
      </c>
      <c r="B8" t="s">
        <v>61</v>
      </c>
      <c r="C8">
        <v>3000</v>
      </c>
      <c r="D8">
        <v>1</v>
      </c>
      <c r="E8">
        <v>60.008000000000003</v>
      </c>
      <c r="F8">
        <v>16.664999999999999</v>
      </c>
      <c r="G8">
        <v>7</v>
      </c>
      <c r="H8">
        <v>3</v>
      </c>
      <c r="I8">
        <v>3</v>
      </c>
      <c r="J8">
        <v>3</v>
      </c>
      <c r="K8">
        <v>1000</v>
      </c>
      <c r="L8">
        <v>3000</v>
      </c>
      <c r="M8">
        <v>3</v>
      </c>
      <c r="N8">
        <v>0</v>
      </c>
    </row>
    <row r="9" spans="1:14" x14ac:dyDescent="0.3">
      <c r="A9" t="s">
        <v>63</v>
      </c>
      <c r="B9" t="s">
        <v>61</v>
      </c>
      <c r="C9">
        <v>3000</v>
      </c>
      <c r="D9">
        <v>2</v>
      </c>
      <c r="E9">
        <v>60.006</v>
      </c>
      <c r="F9">
        <v>16.666</v>
      </c>
      <c r="G9">
        <v>7</v>
      </c>
      <c r="H9">
        <v>3</v>
      </c>
      <c r="I9">
        <v>3</v>
      </c>
      <c r="J9">
        <v>3</v>
      </c>
      <c r="K9">
        <v>1000</v>
      </c>
      <c r="L9">
        <v>3000</v>
      </c>
      <c r="M9">
        <v>3</v>
      </c>
      <c r="N9">
        <v>0</v>
      </c>
    </row>
    <row r="10" spans="1:14" x14ac:dyDescent="0.3">
      <c r="A10" t="s">
        <v>63</v>
      </c>
      <c r="B10" t="s">
        <v>61</v>
      </c>
      <c r="C10">
        <v>3000</v>
      </c>
      <c r="D10">
        <v>3</v>
      </c>
      <c r="E10">
        <v>60.006</v>
      </c>
      <c r="F10">
        <v>16.666</v>
      </c>
      <c r="G10">
        <v>7</v>
      </c>
      <c r="H10">
        <v>3</v>
      </c>
      <c r="I10">
        <v>3</v>
      </c>
      <c r="J10">
        <v>3</v>
      </c>
      <c r="K10">
        <v>1000</v>
      </c>
      <c r="L10">
        <v>3000</v>
      </c>
      <c r="M10">
        <v>3</v>
      </c>
      <c r="N10">
        <v>0</v>
      </c>
    </row>
    <row r="11" spans="1:14" x14ac:dyDescent="0.3">
      <c r="A11" t="s">
        <v>64</v>
      </c>
      <c r="B11" t="s">
        <v>61</v>
      </c>
      <c r="C11">
        <v>4000</v>
      </c>
      <c r="D11">
        <v>1</v>
      </c>
      <c r="E11">
        <v>59.920999999999999</v>
      </c>
      <c r="F11">
        <v>16.806000000000001</v>
      </c>
      <c r="G11">
        <v>7</v>
      </c>
      <c r="H11">
        <v>3</v>
      </c>
      <c r="I11">
        <v>3</v>
      </c>
      <c r="J11">
        <v>3</v>
      </c>
      <c r="K11">
        <v>1334</v>
      </c>
      <c r="L11">
        <v>4000</v>
      </c>
      <c r="M11">
        <v>3</v>
      </c>
      <c r="N11">
        <v>0</v>
      </c>
    </row>
    <row r="12" spans="1:14" x14ac:dyDescent="0.3">
      <c r="A12" t="s">
        <v>64</v>
      </c>
      <c r="B12" t="s">
        <v>61</v>
      </c>
      <c r="C12">
        <v>4000</v>
      </c>
      <c r="D12">
        <v>2</v>
      </c>
      <c r="E12">
        <v>60.005000000000003</v>
      </c>
      <c r="F12">
        <v>16.666</v>
      </c>
      <c r="G12">
        <v>7</v>
      </c>
      <c r="H12">
        <v>3</v>
      </c>
      <c r="I12">
        <v>3</v>
      </c>
      <c r="J12">
        <v>3</v>
      </c>
      <c r="K12">
        <v>1334</v>
      </c>
      <c r="L12">
        <v>4000</v>
      </c>
      <c r="M12">
        <v>3</v>
      </c>
      <c r="N12">
        <v>0</v>
      </c>
    </row>
    <row r="13" spans="1:14" x14ac:dyDescent="0.3">
      <c r="A13" t="s">
        <v>64</v>
      </c>
      <c r="B13" t="s">
        <v>61</v>
      </c>
      <c r="C13">
        <v>4000</v>
      </c>
      <c r="D13">
        <v>3</v>
      </c>
      <c r="E13">
        <v>60.006999999999998</v>
      </c>
      <c r="F13">
        <v>16.664999999999999</v>
      </c>
      <c r="G13">
        <v>7</v>
      </c>
      <c r="H13">
        <v>3</v>
      </c>
      <c r="I13">
        <v>3</v>
      </c>
      <c r="J13">
        <v>3</v>
      </c>
      <c r="K13">
        <v>1334</v>
      </c>
      <c r="L13">
        <v>4000</v>
      </c>
      <c r="M13">
        <v>3</v>
      </c>
      <c r="N13">
        <v>0</v>
      </c>
    </row>
    <row r="14" spans="1:14" x14ac:dyDescent="0.3">
      <c r="A14" t="s">
        <v>65</v>
      </c>
      <c r="B14" t="s">
        <v>61</v>
      </c>
      <c r="C14">
        <v>5000</v>
      </c>
      <c r="D14">
        <v>1</v>
      </c>
      <c r="E14">
        <v>59.938000000000002</v>
      </c>
      <c r="F14">
        <v>16.721</v>
      </c>
      <c r="G14">
        <v>7</v>
      </c>
      <c r="H14">
        <v>3</v>
      </c>
      <c r="I14">
        <v>3</v>
      </c>
      <c r="J14">
        <v>3</v>
      </c>
      <c r="K14">
        <v>1667</v>
      </c>
      <c r="L14">
        <v>5000</v>
      </c>
      <c r="M14">
        <v>3</v>
      </c>
      <c r="N14">
        <v>0</v>
      </c>
    </row>
    <row r="15" spans="1:14" x14ac:dyDescent="0.3">
      <c r="A15" t="s">
        <v>65</v>
      </c>
      <c r="B15" t="s">
        <v>61</v>
      </c>
      <c r="C15">
        <v>5000</v>
      </c>
      <c r="D15">
        <v>2</v>
      </c>
      <c r="E15">
        <v>60.006999999999998</v>
      </c>
      <c r="F15">
        <v>16.664999999999999</v>
      </c>
      <c r="G15">
        <v>7</v>
      </c>
      <c r="H15">
        <v>3</v>
      </c>
      <c r="I15">
        <v>3</v>
      </c>
      <c r="J15">
        <v>3</v>
      </c>
      <c r="K15">
        <v>1667</v>
      </c>
      <c r="L15">
        <v>5000</v>
      </c>
      <c r="M15">
        <v>3</v>
      </c>
      <c r="N15">
        <v>0</v>
      </c>
    </row>
    <row r="16" spans="1:14" x14ac:dyDescent="0.3">
      <c r="A16" t="s">
        <v>65</v>
      </c>
      <c r="B16" t="s">
        <v>61</v>
      </c>
      <c r="C16">
        <v>5000</v>
      </c>
      <c r="D16">
        <v>3</v>
      </c>
      <c r="E16">
        <v>60.005000000000003</v>
      </c>
      <c r="F16">
        <v>16.666</v>
      </c>
      <c r="G16">
        <v>7</v>
      </c>
      <c r="H16">
        <v>3</v>
      </c>
      <c r="I16">
        <v>3</v>
      </c>
      <c r="J16">
        <v>3</v>
      </c>
      <c r="K16">
        <v>1667</v>
      </c>
      <c r="L16">
        <v>5000</v>
      </c>
      <c r="M16">
        <v>3</v>
      </c>
      <c r="N16">
        <v>0</v>
      </c>
    </row>
    <row r="17" spans="1:14" x14ac:dyDescent="0.3">
      <c r="A17" t="s">
        <v>66</v>
      </c>
      <c r="B17" t="s">
        <v>61</v>
      </c>
      <c r="C17">
        <v>6000</v>
      </c>
      <c r="D17">
        <v>1</v>
      </c>
      <c r="E17">
        <v>60.006999999999998</v>
      </c>
      <c r="F17">
        <v>16.664999999999999</v>
      </c>
      <c r="G17">
        <v>7</v>
      </c>
      <c r="H17">
        <v>3</v>
      </c>
      <c r="I17">
        <v>3</v>
      </c>
      <c r="J17">
        <v>3</v>
      </c>
      <c r="K17">
        <v>2000</v>
      </c>
      <c r="L17">
        <v>6000</v>
      </c>
      <c r="M17">
        <v>3</v>
      </c>
      <c r="N17">
        <v>0</v>
      </c>
    </row>
    <row r="18" spans="1:14" x14ac:dyDescent="0.3">
      <c r="A18" t="s">
        <v>66</v>
      </c>
      <c r="B18" t="s">
        <v>61</v>
      </c>
      <c r="C18">
        <v>6000</v>
      </c>
      <c r="D18">
        <v>2</v>
      </c>
      <c r="E18">
        <v>60.005000000000003</v>
      </c>
      <c r="F18">
        <v>16.666</v>
      </c>
      <c r="G18">
        <v>7</v>
      </c>
      <c r="H18">
        <v>3</v>
      </c>
      <c r="I18">
        <v>3</v>
      </c>
      <c r="J18">
        <v>3</v>
      </c>
      <c r="K18">
        <v>2000</v>
      </c>
      <c r="L18">
        <v>6000</v>
      </c>
      <c r="M18">
        <v>3</v>
      </c>
      <c r="N18">
        <v>0</v>
      </c>
    </row>
    <row r="19" spans="1:14" x14ac:dyDescent="0.3">
      <c r="A19" t="s">
        <v>66</v>
      </c>
      <c r="B19" t="s">
        <v>61</v>
      </c>
      <c r="C19">
        <v>6000</v>
      </c>
      <c r="D19">
        <v>3</v>
      </c>
      <c r="E19">
        <v>59.94</v>
      </c>
      <c r="F19">
        <v>16.721</v>
      </c>
      <c r="G19">
        <v>7</v>
      </c>
      <c r="H19">
        <v>3</v>
      </c>
      <c r="I19">
        <v>3</v>
      </c>
      <c r="J19">
        <v>3</v>
      </c>
      <c r="K19">
        <v>2000</v>
      </c>
      <c r="L19">
        <v>6000</v>
      </c>
      <c r="M19">
        <v>3</v>
      </c>
      <c r="N19">
        <v>0</v>
      </c>
    </row>
    <row r="20" spans="1:14" x14ac:dyDescent="0.3">
      <c r="A20" t="s">
        <v>67</v>
      </c>
      <c r="B20" t="s">
        <v>61</v>
      </c>
      <c r="C20">
        <v>7000</v>
      </c>
      <c r="D20">
        <v>1</v>
      </c>
      <c r="E20">
        <v>60.005000000000003</v>
      </c>
      <c r="F20">
        <v>16.666</v>
      </c>
      <c r="G20">
        <v>7</v>
      </c>
      <c r="H20">
        <v>3</v>
      </c>
      <c r="I20">
        <v>3</v>
      </c>
      <c r="J20">
        <v>3</v>
      </c>
      <c r="K20">
        <v>2334</v>
      </c>
      <c r="L20">
        <v>7000</v>
      </c>
      <c r="M20">
        <v>3</v>
      </c>
      <c r="N20">
        <v>0</v>
      </c>
    </row>
    <row r="21" spans="1:14" x14ac:dyDescent="0.3">
      <c r="A21" t="s">
        <v>67</v>
      </c>
      <c r="B21" t="s">
        <v>61</v>
      </c>
      <c r="C21">
        <v>7000</v>
      </c>
      <c r="D21">
        <v>2</v>
      </c>
      <c r="E21">
        <v>59.957999999999998</v>
      </c>
      <c r="F21">
        <v>16.693000000000001</v>
      </c>
      <c r="G21">
        <v>7</v>
      </c>
      <c r="H21">
        <v>3</v>
      </c>
      <c r="I21">
        <v>3</v>
      </c>
      <c r="J21">
        <v>3</v>
      </c>
      <c r="K21">
        <v>2334</v>
      </c>
      <c r="L21">
        <v>7000</v>
      </c>
      <c r="M21">
        <v>3</v>
      </c>
      <c r="N21">
        <v>0</v>
      </c>
    </row>
    <row r="22" spans="1:14" x14ac:dyDescent="0.3">
      <c r="A22" t="s">
        <v>67</v>
      </c>
      <c r="B22" t="s">
        <v>61</v>
      </c>
      <c r="C22">
        <v>7000</v>
      </c>
      <c r="D22">
        <v>3</v>
      </c>
      <c r="E22">
        <v>60.006999999999998</v>
      </c>
      <c r="F22">
        <v>16.664999999999999</v>
      </c>
      <c r="G22">
        <v>7</v>
      </c>
      <c r="H22">
        <v>3</v>
      </c>
      <c r="I22">
        <v>3</v>
      </c>
      <c r="J22">
        <v>3</v>
      </c>
      <c r="K22">
        <v>2334</v>
      </c>
      <c r="L22">
        <v>7000</v>
      </c>
      <c r="M22">
        <v>3</v>
      </c>
      <c r="N22">
        <v>0</v>
      </c>
    </row>
    <row r="23" spans="1:14" x14ac:dyDescent="0.3">
      <c r="A23" t="s">
        <v>68</v>
      </c>
      <c r="B23" t="s">
        <v>61</v>
      </c>
      <c r="C23">
        <v>8000</v>
      </c>
      <c r="D23">
        <v>1</v>
      </c>
      <c r="E23">
        <v>60.006</v>
      </c>
      <c r="F23">
        <v>16.666</v>
      </c>
      <c r="G23">
        <v>7</v>
      </c>
      <c r="H23">
        <v>3</v>
      </c>
      <c r="I23">
        <v>3</v>
      </c>
      <c r="J23">
        <v>3</v>
      </c>
      <c r="K23">
        <v>2667</v>
      </c>
      <c r="L23">
        <v>8000</v>
      </c>
      <c r="M23">
        <v>3</v>
      </c>
      <c r="N23">
        <v>0</v>
      </c>
    </row>
    <row r="24" spans="1:14" x14ac:dyDescent="0.3">
      <c r="A24" t="s">
        <v>68</v>
      </c>
      <c r="B24" t="s">
        <v>61</v>
      </c>
      <c r="C24">
        <v>8000</v>
      </c>
      <c r="D24">
        <v>2</v>
      </c>
      <c r="E24">
        <v>60.006</v>
      </c>
      <c r="F24">
        <v>16.666</v>
      </c>
      <c r="G24">
        <v>7</v>
      </c>
      <c r="H24">
        <v>3</v>
      </c>
      <c r="I24">
        <v>3</v>
      </c>
      <c r="J24">
        <v>3</v>
      </c>
      <c r="K24">
        <v>2667</v>
      </c>
      <c r="L24">
        <v>8000</v>
      </c>
      <c r="M24">
        <v>3</v>
      </c>
      <c r="N24">
        <v>0</v>
      </c>
    </row>
    <row r="25" spans="1:14" x14ac:dyDescent="0.3">
      <c r="A25" t="s">
        <v>68</v>
      </c>
      <c r="B25" t="s">
        <v>61</v>
      </c>
      <c r="C25">
        <v>8000</v>
      </c>
      <c r="D25">
        <v>3</v>
      </c>
      <c r="E25">
        <v>60.003999999999998</v>
      </c>
      <c r="F25">
        <v>16.666</v>
      </c>
      <c r="G25">
        <v>7</v>
      </c>
      <c r="H25">
        <v>3</v>
      </c>
      <c r="I25">
        <v>3</v>
      </c>
      <c r="J25">
        <v>3</v>
      </c>
      <c r="K25">
        <v>2667</v>
      </c>
      <c r="L25">
        <v>8000</v>
      </c>
      <c r="M25">
        <v>3</v>
      </c>
      <c r="N25">
        <v>0</v>
      </c>
    </row>
    <row r="26" spans="1:14" x14ac:dyDescent="0.3">
      <c r="A26" t="s">
        <v>69</v>
      </c>
      <c r="B26" t="s">
        <v>61</v>
      </c>
      <c r="C26">
        <v>9000</v>
      </c>
      <c r="D26">
        <v>1</v>
      </c>
      <c r="E26">
        <v>60.005000000000003</v>
      </c>
      <c r="F26">
        <v>16.666</v>
      </c>
      <c r="G26">
        <v>7</v>
      </c>
      <c r="H26">
        <v>3</v>
      </c>
      <c r="I26">
        <v>3</v>
      </c>
      <c r="J26">
        <v>3</v>
      </c>
      <c r="K26">
        <v>3000</v>
      </c>
      <c r="L26">
        <v>9000</v>
      </c>
      <c r="M26">
        <v>3</v>
      </c>
      <c r="N26">
        <v>0</v>
      </c>
    </row>
    <row r="27" spans="1:14" x14ac:dyDescent="0.3">
      <c r="A27" t="s">
        <v>69</v>
      </c>
      <c r="B27" t="s">
        <v>61</v>
      </c>
      <c r="C27">
        <v>9000</v>
      </c>
      <c r="D27">
        <v>2</v>
      </c>
      <c r="E27">
        <v>59.956000000000003</v>
      </c>
      <c r="F27">
        <v>16.693000000000001</v>
      </c>
      <c r="G27">
        <v>7</v>
      </c>
      <c r="H27">
        <v>3</v>
      </c>
      <c r="I27">
        <v>3</v>
      </c>
      <c r="J27">
        <v>3</v>
      </c>
      <c r="K27">
        <v>3000</v>
      </c>
      <c r="L27">
        <v>9000</v>
      </c>
      <c r="M27">
        <v>3</v>
      </c>
      <c r="N27">
        <v>0</v>
      </c>
    </row>
    <row r="28" spans="1:14" x14ac:dyDescent="0.3">
      <c r="A28" t="s">
        <v>69</v>
      </c>
      <c r="B28" t="s">
        <v>61</v>
      </c>
      <c r="C28">
        <v>9000</v>
      </c>
      <c r="D28">
        <v>3</v>
      </c>
      <c r="E28">
        <v>59.887999999999998</v>
      </c>
      <c r="F28">
        <v>16.748999999999999</v>
      </c>
      <c r="G28">
        <v>7</v>
      </c>
      <c r="H28">
        <v>3</v>
      </c>
      <c r="I28">
        <v>3</v>
      </c>
      <c r="J28">
        <v>3</v>
      </c>
      <c r="K28">
        <v>3000</v>
      </c>
      <c r="L28">
        <v>9000</v>
      </c>
      <c r="M28">
        <v>3</v>
      </c>
      <c r="N28">
        <v>0</v>
      </c>
    </row>
    <row r="29" spans="1:14" x14ac:dyDescent="0.3">
      <c r="A29" t="s">
        <v>70</v>
      </c>
      <c r="B29" t="s">
        <v>61</v>
      </c>
      <c r="C29">
        <v>10000</v>
      </c>
      <c r="D29">
        <v>1</v>
      </c>
      <c r="E29">
        <v>59.954000000000001</v>
      </c>
      <c r="F29">
        <v>16.693999999999999</v>
      </c>
      <c r="G29">
        <v>7</v>
      </c>
      <c r="H29">
        <v>3</v>
      </c>
      <c r="I29">
        <v>3</v>
      </c>
      <c r="J29">
        <v>3</v>
      </c>
      <c r="K29">
        <v>3334</v>
      </c>
      <c r="L29">
        <v>10000</v>
      </c>
      <c r="M29">
        <v>3</v>
      </c>
      <c r="N29">
        <v>0</v>
      </c>
    </row>
    <row r="30" spans="1:14" x14ac:dyDescent="0.3">
      <c r="A30" t="s">
        <v>70</v>
      </c>
      <c r="B30" t="s">
        <v>61</v>
      </c>
      <c r="C30">
        <v>10000</v>
      </c>
      <c r="D30">
        <v>2</v>
      </c>
      <c r="E30">
        <v>60.006</v>
      </c>
      <c r="F30">
        <v>16.664999999999999</v>
      </c>
      <c r="G30">
        <v>7</v>
      </c>
      <c r="H30">
        <v>3</v>
      </c>
      <c r="I30">
        <v>3</v>
      </c>
      <c r="J30">
        <v>3</v>
      </c>
      <c r="K30">
        <v>3334</v>
      </c>
      <c r="L30">
        <v>10000</v>
      </c>
      <c r="M30">
        <v>3</v>
      </c>
      <c r="N30">
        <v>0</v>
      </c>
    </row>
    <row r="31" spans="1:14" x14ac:dyDescent="0.3">
      <c r="A31" t="s">
        <v>70</v>
      </c>
      <c r="B31" t="s">
        <v>61</v>
      </c>
      <c r="C31">
        <v>10000</v>
      </c>
      <c r="D31">
        <v>3</v>
      </c>
      <c r="E31">
        <v>59.957000000000001</v>
      </c>
      <c r="F31">
        <v>16.693000000000001</v>
      </c>
      <c r="G31">
        <v>7</v>
      </c>
      <c r="H31">
        <v>3</v>
      </c>
      <c r="I31">
        <v>3</v>
      </c>
      <c r="J31">
        <v>3</v>
      </c>
      <c r="K31">
        <v>3334</v>
      </c>
      <c r="L31">
        <v>10000</v>
      </c>
      <c r="M31">
        <v>3</v>
      </c>
      <c r="N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F0A9-5FBC-434D-8EA3-53CB6036B0E7}">
  <dimension ref="A1:N4"/>
  <sheetViews>
    <sheetView workbookViewId="0">
      <selection activeCell="K12" sqref="K1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11</v>
      </c>
      <c r="G1" t="s">
        <v>14</v>
      </c>
      <c r="H1" t="s">
        <v>17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3">
      <c r="A2" t="s">
        <v>71</v>
      </c>
      <c r="B2" t="s">
        <v>61</v>
      </c>
      <c r="C2">
        <v>10</v>
      </c>
      <c r="D2">
        <v>1</v>
      </c>
      <c r="E2">
        <v>59.768000000000001</v>
      </c>
      <c r="F2">
        <v>16.89</v>
      </c>
      <c r="G2">
        <v>21</v>
      </c>
      <c r="H2">
        <v>20</v>
      </c>
      <c r="I2">
        <v>2</v>
      </c>
      <c r="J2">
        <v>2</v>
      </c>
      <c r="K2">
        <v>10</v>
      </c>
      <c r="L2">
        <v>0</v>
      </c>
      <c r="M2">
        <v>0</v>
      </c>
      <c r="N2">
        <v>2</v>
      </c>
    </row>
    <row r="3" spans="1:14" x14ac:dyDescent="0.3">
      <c r="A3" t="s">
        <v>71</v>
      </c>
      <c r="B3" t="s">
        <v>61</v>
      </c>
      <c r="C3">
        <v>10</v>
      </c>
      <c r="D3">
        <v>2</v>
      </c>
      <c r="E3">
        <v>60.005000000000003</v>
      </c>
      <c r="F3">
        <v>16.666</v>
      </c>
      <c r="G3">
        <v>21</v>
      </c>
      <c r="H3">
        <v>20</v>
      </c>
      <c r="I3">
        <v>2</v>
      </c>
      <c r="J3">
        <v>2</v>
      </c>
      <c r="K3">
        <v>10</v>
      </c>
      <c r="L3">
        <v>0</v>
      </c>
      <c r="M3">
        <v>0</v>
      </c>
      <c r="N3">
        <v>2</v>
      </c>
    </row>
    <row r="4" spans="1:14" x14ac:dyDescent="0.3">
      <c r="A4" t="s">
        <v>71</v>
      </c>
      <c r="B4" t="s">
        <v>61</v>
      </c>
      <c r="C4">
        <v>10</v>
      </c>
      <c r="D4">
        <v>3</v>
      </c>
      <c r="E4">
        <v>59.956000000000003</v>
      </c>
      <c r="F4">
        <v>16.693000000000001</v>
      </c>
      <c r="G4">
        <v>21</v>
      </c>
      <c r="H4">
        <v>20</v>
      </c>
      <c r="I4">
        <v>2</v>
      </c>
      <c r="J4">
        <v>2</v>
      </c>
      <c r="K4">
        <v>10</v>
      </c>
      <c r="L4">
        <v>0</v>
      </c>
      <c r="M4">
        <v>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baseline_results_cube</vt:lpstr>
      <vt:lpstr>baseline_summary</vt:lpstr>
      <vt:lpstr>batching_results_cube</vt:lpstr>
      <vt:lpstr>batching_summary</vt:lpstr>
      <vt:lpstr>summary</vt:lpstr>
      <vt:lpstr>instancing_results_cube</vt:lpstr>
      <vt:lpstr>instacing_results_asset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Anca Custură</cp:lastModifiedBy>
  <dcterms:created xsi:type="dcterms:W3CDTF">2026-06-29T19:09:57Z</dcterms:created>
  <dcterms:modified xsi:type="dcterms:W3CDTF">2026-06-29T22:22:09Z</dcterms:modified>
</cp:coreProperties>
</file>